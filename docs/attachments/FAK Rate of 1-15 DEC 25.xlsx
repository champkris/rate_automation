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a\Desktop\July\"/>
    </mc:Choice>
  </mc:AlternateContent>
  <xr:revisionPtr revIDLastSave="0" documentId="13_ncr:1_{A54F5B33-3012-434A-9BAD-94DF4B82C12D}" xr6:coauthVersionLast="47" xr6:coauthVersionMax="47" xr10:uidLastSave="{00000000-0000-0000-0000-000000000000}"/>
  <bookViews>
    <workbookView xWindow="-108" yWindow="-108" windowWidth="23256" windowHeight="12456" xr2:uid="{561F3EBC-0C50-46AE-8DD3-E2B7DBDC85D9}"/>
  </bookViews>
  <sheets>
    <sheet name="RCL" sheetId="1" r:id="rId1"/>
    <sheet name="DG SURCHARGE" sheetId="2" r:id="rId2"/>
  </sheets>
  <definedNames>
    <definedName name="_xlnm._FilterDatabase" localSheetId="0" hidden="1">RCL!$D$1:$D$95</definedName>
    <definedName name="_xlnm.Print_Area" localSheetId="0">RCL!$A$2:$L$96</definedName>
    <definedName name="_xlnm.Print_Titles" localSheetId="0">RCL!$8:$9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8" i="1" l="1"/>
  <c r="G88" i="1"/>
  <c r="H33" i="1"/>
  <c r="G33" i="1"/>
  <c r="H56" i="1"/>
  <c r="G56" i="1"/>
  <c r="H52" i="1"/>
  <c r="G52" i="1"/>
  <c r="H27" i="1"/>
  <c r="H96" i="1" l="1"/>
  <c r="H90" i="1"/>
  <c r="G90" i="1"/>
  <c r="H92" i="1"/>
  <c r="G92" i="1"/>
  <c r="G96" i="1"/>
  <c r="H94" i="1"/>
  <c r="G94" i="1"/>
  <c r="H54" i="1"/>
  <c r="G54" i="1"/>
  <c r="G78" i="1"/>
  <c r="H68" i="1"/>
  <c r="G68" i="1"/>
  <c r="H74" i="1"/>
  <c r="G74" i="1"/>
  <c r="H76" i="1"/>
  <c r="G76" i="1"/>
  <c r="H70" i="1"/>
  <c r="G70" i="1"/>
  <c r="H86" i="1"/>
  <c r="G86" i="1"/>
  <c r="H25" i="1"/>
  <c r="G25" i="1"/>
  <c r="H78" i="1"/>
  <c r="H80" i="1"/>
  <c r="H82" i="1"/>
  <c r="H84" i="1"/>
  <c r="G50" i="1"/>
  <c r="H50" i="1"/>
  <c r="H37" i="1"/>
  <c r="H38" i="1"/>
  <c r="G37" i="1"/>
  <c r="G38" i="1" s="1"/>
  <c r="G80" i="1"/>
  <c r="H58" i="1"/>
  <c r="G58" i="1"/>
  <c r="G44" i="1"/>
  <c r="G46" i="1"/>
  <c r="H42" i="1"/>
  <c r="G42" i="1"/>
  <c r="G35" i="1"/>
  <c r="G27" i="1"/>
  <c r="G29" i="1"/>
  <c r="H29" i="1"/>
  <c r="H31" i="1"/>
  <c r="G22" i="1"/>
  <c r="G23" i="1" s="1"/>
  <c r="H23" i="1"/>
  <c r="F7" i="2"/>
  <c r="H35" i="1"/>
  <c r="H19" i="1"/>
  <c r="H20" i="1" s="1"/>
  <c r="G19" i="1"/>
  <c r="G20" i="1" s="1"/>
  <c r="G84" i="1"/>
  <c r="G82" i="1"/>
  <c r="H40" i="1"/>
  <c r="G40" i="1"/>
  <c r="H17" i="1"/>
  <c r="G17" i="1"/>
  <c r="H15" i="1"/>
  <c r="G15" i="1"/>
  <c r="H13" i="1"/>
  <c r="G13" i="1"/>
  <c r="H11" i="1"/>
  <c r="G11" i="1"/>
  <c r="H44" i="1"/>
  <c r="H46" i="1"/>
  <c r="H48" i="1"/>
  <c r="H60" i="1"/>
  <c r="G60" i="1"/>
  <c r="G62" i="1"/>
  <c r="G48" i="1"/>
  <c r="G64" i="1"/>
  <c r="H62" i="1"/>
  <c r="H64" i="1"/>
  <c r="G66" i="1"/>
  <c r="H66" i="1"/>
  <c r="G72" i="1"/>
  <c r="H72" i="1"/>
  <c r="G31" i="1"/>
</calcChain>
</file>

<file path=xl/sharedStrings.xml><?xml version="1.0" encoding="utf-8"?>
<sst xmlns="http://schemas.openxmlformats.org/spreadsheetml/2006/main" count="520" uniqueCount="199">
  <si>
    <t>Ngow Hock Co., Ltd.</t>
  </si>
  <si>
    <t>As Agent of  Regional Container Lines</t>
  </si>
  <si>
    <t xml:space="preserve"> </t>
  </si>
  <si>
    <t>POD code</t>
  </si>
  <si>
    <t>Port of Discharge</t>
  </si>
  <si>
    <t>MYPKG</t>
  </si>
  <si>
    <t>IDJKT</t>
  </si>
  <si>
    <t>PHMNL</t>
  </si>
  <si>
    <t>VNSGN</t>
  </si>
  <si>
    <t>VNHPH</t>
  </si>
  <si>
    <t>CNSHA</t>
  </si>
  <si>
    <t>CNNGB</t>
  </si>
  <si>
    <t>CNTAO</t>
  </si>
  <si>
    <t>CNDLC</t>
  </si>
  <si>
    <t>CNSHK</t>
  </si>
  <si>
    <t>CNNSA</t>
  </si>
  <si>
    <t>HKHKG</t>
  </si>
  <si>
    <t>LKCMB</t>
  </si>
  <si>
    <t>Colombo</t>
  </si>
  <si>
    <t>13-17</t>
  </si>
  <si>
    <t>INCCU</t>
  </si>
  <si>
    <t>Calcutta</t>
  </si>
  <si>
    <t>14-15</t>
  </si>
  <si>
    <t>INKAT</t>
  </si>
  <si>
    <t>Kattupali</t>
  </si>
  <si>
    <t>INMAA</t>
  </si>
  <si>
    <t>Chennai</t>
  </si>
  <si>
    <t>INVTZ</t>
  </si>
  <si>
    <t>Vizag</t>
  </si>
  <si>
    <t>INCOK</t>
  </si>
  <si>
    <t>Cochin</t>
  </si>
  <si>
    <t>17-18</t>
  </si>
  <si>
    <t>INMUN</t>
  </si>
  <si>
    <t>INPAV</t>
  </si>
  <si>
    <t>Pipavav</t>
  </si>
  <si>
    <t>INNSA</t>
  </si>
  <si>
    <t>Nhava Sheva</t>
  </si>
  <si>
    <t>INBLR</t>
  </si>
  <si>
    <t>Bangalore</t>
  </si>
  <si>
    <t>Ahmedabad</t>
  </si>
  <si>
    <t>17-20</t>
  </si>
  <si>
    <t>Ludhiana</t>
  </si>
  <si>
    <t>Jaipur</t>
  </si>
  <si>
    <t>Hyderabad</t>
  </si>
  <si>
    <t>Ankleshwar</t>
  </si>
  <si>
    <t>AEDXB</t>
  </si>
  <si>
    <t>Bahrain</t>
  </si>
  <si>
    <t>BHBAH</t>
  </si>
  <si>
    <t>KWKWI</t>
  </si>
  <si>
    <t>PKKHI</t>
  </si>
  <si>
    <t>Karachi</t>
  </si>
  <si>
    <t>SADMM</t>
  </si>
  <si>
    <t>SAJED</t>
  </si>
  <si>
    <t>18-20</t>
  </si>
  <si>
    <t>KEMBA</t>
  </si>
  <si>
    <t>22-24</t>
  </si>
  <si>
    <t>Thailand : Export local charges:-</t>
  </si>
  <si>
    <t xml:space="preserve">Terminal Handling Charge (THC) </t>
  </si>
  <si>
    <t>Stuffing Charge (CFS)</t>
  </si>
  <si>
    <t>Demurrage &amp; Detention Charge</t>
  </si>
  <si>
    <t xml:space="preserve">Seal Charge </t>
  </si>
  <si>
    <t xml:space="preserve">B/L Fee, Surrender Fee </t>
  </si>
  <si>
    <t>INAMD</t>
  </si>
  <si>
    <t>INLUH</t>
  </si>
  <si>
    <t>INDEL/INTKD</t>
  </si>
  <si>
    <t>Dadri</t>
  </si>
  <si>
    <t>INDRI</t>
  </si>
  <si>
    <t>INJAI</t>
  </si>
  <si>
    <t>INISN</t>
  </si>
  <si>
    <t>INIGH</t>
  </si>
  <si>
    <t>Garhi Harsaru</t>
  </si>
  <si>
    <t>Sonipat</t>
  </si>
  <si>
    <t>INBRC</t>
  </si>
  <si>
    <t>Dashrath - Baroda</t>
  </si>
  <si>
    <t>INHYD</t>
  </si>
  <si>
    <t>INAKV</t>
  </si>
  <si>
    <t>New Delhi / Tughlakabad</t>
  </si>
  <si>
    <t>EGSOK</t>
  </si>
  <si>
    <t>Direct service</t>
  </si>
  <si>
    <t>POL</t>
  </si>
  <si>
    <t>POD</t>
  </si>
  <si>
    <t>THBKK</t>
  </si>
  <si>
    <t>SGSIN 3</t>
  </si>
  <si>
    <t>SGSIN 2</t>
  </si>
  <si>
    <t>THLCH</t>
  </si>
  <si>
    <t xml:space="preserve">Exclude storage at terminal </t>
  </si>
  <si>
    <t>INTUM</t>
  </si>
  <si>
    <t>T/S SIN</t>
  </si>
  <si>
    <t>T/S PKG</t>
  </si>
  <si>
    <t>T/S SIN/PKG</t>
  </si>
  <si>
    <t>Via KAT</t>
  </si>
  <si>
    <t>T/S DXB</t>
  </si>
  <si>
    <t>Service</t>
  </si>
  <si>
    <t>DIRECT</t>
  </si>
  <si>
    <t>OOG OTHC : THB 3900/5850</t>
  </si>
  <si>
    <t>ETD</t>
  </si>
  <si>
    <t>INBOM</t>
  </si>
  <si>
    <t>Tumb</t>
  </si>
  <si>
    <t>Mumbai</t>
  </si>
  <si>
    <t>: THB 3000/6000</t>
  </si>
  <si>
    <t>: THB 300 /unit</t>
  </si>
  <si>
    <t>: THB 1,500/set</t>
  </si>
  <si>
    <t>(RETURN LADEN = DEM, CY EMPTY CONTAINER=DET)</t>
  </si>
  <si>
    <t>14 DAYS COMBINED</t>
  </si>
  <si>
    <t>TZDAR</t>
  </si>
  <si>
    <t>: THB 2900/4500</t>
  </si>
  <si>
    <t>RMB / RGA</t>
  </si>
  <si>
    <t>RMB</t>
  </si>
  <si>
    <t>RLI</t>
  </si>
  <si>
    <t>RTS</t>
  </si>
  <si>
    <t>SUN / WED</t>
  </si>
  <si>
    <t>LKR</t>
  </si>
  <si>
    <t>SUN / WED / FRI</t>
  </si>
  <si>
    <t>FRI (BKK PAT) / SAT (LCH)</t>
  </si>
  <si>
    <t>BKK / LCH</t>
  </si>
  <si>
    <t>20'GP</t>
  </si>
  <si>
    <t>40'HC</t>
  </si>
  <si>
    <t>LCH</t>
  </si>
  <si>
    <t>Country</t>
  </si>
  <si>
    <t>WED / FRI</t>
  </si>
  <si>
    <t xml:space="preserve"> RTI02 / RMB8</t>
  </si>
  <si>
    <t>Subject to local charge at both ends / Included CIC</t>
  </si>
  <si>
    <t>Subject to local charge at both ends</t>
  </si>
  <si>
    <t>20-22</t>
  </si>
  <si>
    <t>WED</t>
  </si>
  <si>
    <t xml:space="preserve"> RTI02 / RMB8 / RGA2</t>
  </si>
  <si>
    <t>Subject to local charge at both ends / Included CIC/PCS at POD</t>
  </si>
  <si>
    <t>RLI / RGA2</t>
  </si>
  <si>
    <t>ICD India 
(via Pipavav or Mundra)</t>
  </si>
  <si>
    <t>VIA PAV / MUN</t>
  </si>
  <si>
    <t>WED OR T/S SERVICE</t>
  </si>
  <si>
    <t>Subject to local charge at both ends / Included CIC/PCS at POD / 
Subject to IHC Tariff</t>
  </si>
  <si>
    <t>ICD India (via Nhava Sheva)</t>
  </si>
  <si>
    <t>VIA NSA</t>
  </si>
  <si>
    <t xml:space="preserve">FRI </t>
  </si>
  <si>
    <t xml:space="preserve">Subject to local charge at both ends / Included CIC /  
In-transit cargo to Afghanistan not allowed </t>
  </si>
  <si>
    <t>Subject to local charge at both ends / 
Subject to  CIC: KWD 22/38 (OR USD 72/125 IF PREPAID) FOR 20'/40'</t>
  </si>
  <si>
    <t>OUTBOUND</t>
  </si>
  <si>
    <t>E.India</t>
  </si>
  <si>
    <t>S.India ICD India (via INKAT)</t>
  </si>
  <si>
    <t>S.India</t>
  </si>
  <si>
    <t>W.India Pakistan</t>
  </si>
  <si>
    <t>W.India Sri Lanka</t>
  </si>
  <si>
    <t>UAE/Jebel Ali</t>
  </si>
  <si>
    <t>Saudi Arabia/Dammam</t>
  </si>
  <si>
    <t>Kuwait/Shuwaikh</t>
  </si>
  <si>
    <t>Saudi Arabia/Jeddah</t>
  </si>
  <si>
    <t>Egypt/Sokhna</t>
  </si>
  <si>
    <t>Kenya/Mombasa</t>
  </si>
  <si>
    <t>Tanzania/Dar Es Salaam</t>
  </si>
  <si>
    <t>M.E. GULF</t>
  </si>
  <si>
    <t>M.E. RED SEA</t>
  </si>
  <si>
    <t>E.Africa</t>
  </si>
  <si>
    <t>THBKK/THLCH : Y2024 DG Surcharge in USD</t>
  </si>
  <si>
    <t xml:space="preserve">Y2024 HQ DGS </t>
  </si>
  <si>
    <r>
      <rPr>
        <b/>
        <sz val="12"/>
        <rFont val="Calibri"/>
        <family val="2"/>
      </rPr>
      <t xml:space="preserve">DGS is applicable for </t>
    </r>
    <r>
      <rPr>
        <b/>
        <u/>
        <sz val="12"/>
        <color indexed="10"/>
        <rFont val="Calibri"/>
        <family val="2"/>
      </rPr>
      <t>only direct port pair.</t>
    </r>
  </si>
  <si>
    <t>Target DG surcharge/ TEU</t>
  </si>
  <si>
    <t>Prospect.Avg vol/wk</t>
  </si>
  <si>
    <t>20ft</t>
  </si>
  <si>
    <t>40ft</t>
  </si>
  <si>
    <t>Remark</t>
  </si>
  <si>
    <r>
      <rPr>
        <b/>
        <sz val="12"/>
        <rFont val="Calibri"/>
        <family val="2"/>
      </rPr>
      <t>Subject to</t>
    </r>
    <r>
      <rPr>
        <b/>
        <sz val="12"/>
        <color indexed="10"/>
        <rFont val="Calibri"/>
        <family val="2"/>
      </rPr>
      <t xml:space="preserve"> POL/POD acceptance </t>
    </r>
  </si>
  <si>
    <r>
      <rPr>
        <b/>
        <sz val="12"/>
        <rFont val="Calibri"/>
        <family val="2"/>
      </rPr>
      <t>Subject to</t>
    </r>
    <r>
      <rPr>
        <b/>
        <sz val="12"/>
        <color indexed="10"/>
        <rFont val="Calibri"/>
        <family val="2"/>
      </rPr>
      <t xml:space="preserve"> </t>
    </r>
    <r>
      <rPr>
        <b/>
        <u/>
        <sz val="12"/>
        <color indexed="10"/>
        <rFont val="Calibri"/>
        <family val="2"/>
      </rPr>
      <t>DG class 1</t>
    </r>
    <r>
      <rPr>
        <b/>
        <sz val="12"/>
        <color indexed="10"/>
        <rFont val="Calibri"/>
        <family val="2"/>
      </rPr>
      <t xml:space="preserve"> &amp; 7</t>
    </r>
  </si>
  <si>
    <r>
      <t xml:space="preserve">Except RCL's </t>
    </r>
    <r>
      <rPr>
        <b/>
        <u/>
        <sz val="12"/>
        <color indexed="10"/>
        <rFont val="Calibri"/>
        <family val="2"/>
      </rPr>
      <t>Prohibit/Restricted</t>
    </r>
    <r>
      <rPr>
        <b/>
        <sz val="12"/>
        <color indexed="10"/>
        <rFont val="Calibri"/>
        <family val="2"/>
      </rPr>
      <t xml:space="preserve"> list </t>
    </r>
  </si>
  <si>
    <r>
      <t xml:space="preserve">Ex </t>
    </r>
    <r>
      <rPr>
        <b/>
        <u/>
        <sz val="12"/>
        <color indexed="50"/>
        <rFont val="Calibri"/>
        <family val="2"/>
      </rPr>
      <t>LKR</t>
    </r>
    <r>
      <rPr>
        <b/>
        <sz val="12"/>
        <rFont val="Calibri"/>
        <family val="2"/>
      </rPr>
      <t xml:space="preserve"> pls add</t>
    </r>
    <r>
      <rPr>
        <b/>
        <u/>
        <sz val="12"/>
        <color indexed="10"/>
        <rFont val="Calibri"/>
        <family val="2"/>
      </rPr>
      <t xml:space="preserve"> usd 100/200 on top of DGS</t>
    </r>
  </si>
  <si>
    <t>Offer ex THLCH</t>
  </si>
  <si>
    <t>Not accept to IDJKT (IDMAL)</t>
  </si>
  <si>
    <t>No direct svc</t>
  </si>
  <si>
    <r>
      <t xml:space="preserve">Transit Time 
</t>
    </r>
    <r>
      <rPr>
        <sz val="10"/>
        <color indexed="8"/>
        <rFont val="Tahoma"/>
        <family val="2"/>
      </rPr>
      <t>(Days)</t>
    </r>
  </si>
  <si>
    <r>
      <t>Free time</t>
    </r>
    <r>
      <rPr>
        <sz val="10"/>
        <rFont val="Tahoma"/>
        <family val="2"/>
      </rPr>
      <t xml:space="preserve"> (Days) </t>
    </r>
    <r>
      <rPr>
        <b/>
        <sz val="10"/>
        <rFont val="Tahoma"/>
        <family val="2"/>
      </rPr>
      <t xml:space="preserve">
at Destination</t>
    </r>
  </si>
  <si>
    <r>
      <t xml:space="preserve">Rate Condition &amp; </t>
    </r>
    <r>
      <rPr>
        <b/>
        <sz val="10"/>
        <color indexed="10"/>
        <rFont val="Tahoma"/>
        <family val="2"/>
      </rPr>
      <t>Remark</t>
    </r>
    <r>
      <rPr>
        <b/>
        <sz val="10"/>
        <rFont val="Tahoma"/>
        <family val="2"/>
      </rPr>
      <t xml:space="preserve">
All-in Rate included BAF/YAS/LGGR/EBS/ISPS/Risk Premium 
with subject to local charges both ends </t>
    </r>
    <r>
      <rPr>
        <b/>
        <sz val="10"/>
        <color indexed="12"/>
        <rFont val="Tahoma"/>
        <family val="2"/>
      </rPr>
      <t>(unless mention)</t>
    </r>
  </si>
  <si>
    <t>latest updated</t>
  </si>
  <si>
    <t>HQ remark</t>
  </si>
  <si>
    <t>Fishmeal : 150/300 , Class 2 : 600/1,200 incld RBS</t>
  </si>
  <si>
    <t>DGS 100/teu subj to RBC13 CUL vsl, DGS 150/teu incl CUL vsl</t>
  </si>
  <si>
    <t>-</t>
  </si>
  <si>
    <t>To INNSA (INICT &amp; NFS), add on $ 50/teu</t>
  </si>
  <si>
    <t>Tuticorin</t>
  </si>
  <si>
    <t>INTUT</t>
  </si>
  <si>
    <t xml:space="preserve"> RTI02 / RMB9</t>
  </si>
  <si>
    <t>VIA CMB</t>
  </si>
  <si>
    <t>Saudi Arabia/Riyadh</t>
  </si>
  <si>
    <t>SARUH</t>
  </si>
  <si>
    <t xml:space="preserve">Jordan/Aqaba </t>
  </si>
  <si>
    <t>JOAQJ</t>
  </si>
  <si>
    <t>RGA3</t>
  </si>
  <si>
    <t>IRAQ</t>
  </si>
  <si>
    <t>IQUQR</t>
  </si>
  <si>
    <t>25-28</t>
  </si>
  <si>
    <t>incl BAF/ LGGR/ DTHC subject to local charge at both ends and if all any.</t>
  </si>
  <si>
    <t>: 6-10 days up THB 600/20’ , THB 1,200/40’ per container per days +VAT7%
: 11 days up THB 1,200/20’ , THB 2,400/40 per container per days +VAT7%</t>
  </si>
  <si>
    <t>MUNDRA</t>
  </si>
  <si>
    <t>Via PKG</t>
  </si>
  <si>
    <t>Umm Qasr (West)</t>
  </si>
  <si>
    <t>T/S SIN/PKG and Direct</t>
  </si>
  <si>
    <t>01/12-15/12</t>
  </si>
  <si>
    <t>….......</t>
  </si>
  <si>
    <t>Subject to local charge at both ends / Included CIC ** Subj. Rail cost 590/1090</t>
  </si>
  <si>
    <t>T/S CDXB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</si>
</sst>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name val="Calibri"/>
      <family val="2"/>
    </font>
    <font>
      <b/>
      <sz val="12"/>
      <name val="Calibri"/>
      <family val="2"/>
    </font>
    <font>
      <b/>
      <sz val="12"/>
      <color indexed="10"/>
      <name val="Calibri"/>
      <family val="2"/>
    </font>
    <font>
      <b/>
      <u/>
      <sz val="12"/>
      <color indexed="10"/>
      <name val="Calibri"/>
      <family val="2"/>
    </font>
    <font>
      <b/>
      <u/>
      <sz val="12"/>
      <color indexed="50"/>
      <name val="Calibri"/>
      <family val="2"/>
    </font>
    <font>
      <b/>
      <sz val="10"/>
      <name val="Tahoma"/>
      <family val="2"/>
    </font>
    <font>
      <b/>
      <sz val="10"/>
      <color indexed="8"/>
      <name val="Tahoma"/>
      <family val="2"/>
    </font>
    <font>
      <b/>
      <u/>
      <sz val="10"/>
      <color indexed="8"/>
      <name val="Tahoma"/>
      <family val="2"/>
    </font>
    <font>
      <sz val="10"/>
      <color indexed="8"/>
      <name val="Tahoma"/>
      <family val="2"/>
    </font>
    <font>
      <b/>
      <sz val="10"/>
      <color indexed="12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i/>
      <sz val="16"/>
      <color indexed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i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sz val="10"/>
      <color theme="1"/>
      <name val="Aptos Narrow"/>
      <family val="2"/>
    </font>
    <font>
      <b/>
      <sz val="10"/>
      <color rgb="FF0000FF"/>
      <name val="Tahoma"/>
      <family val="2"/>
    </font>
    <font>
      <b/>
      <sz val="10"/>
      <color rgb="FFFF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43" fontId="1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0" fontId="2" fillId="0" borderId="0"/>
  </cellStyleXfs>
  <cellXfs count="175">
    <xf numFmtId="0" fontId="0" fillId="0" borderId="0" xfId="0"/>
    <xf numFmtId="0" fontId="19" fillId="2" borderId="0" xfId="0" applyFont="1" applyFill="1"/>
    <xf numFmtId="0" fontId="20" fillId="2" borderId="0" xfId="0" applyFont="1" applyFill="1"/>
    <xf numFmtId="0" fontId="18" fillId="3" borderId="34" xfId="0" applyFont="1" applyFill="1" applyBorder="1" applyAlignment="1">
      <alignment horizontal="center" vertical="center"/>
    </xf>
    <xf numFmtId="0" fontId="18" fillId="2" borderId="1" xfId="0" applyFont="1" applyFill="1" applyBorder="1"/>
    <xf numFmtId="0" fontId="0" fillId="2" borderId="2" xfId="0" applyFill="1" applyBorder="1"/>
    <xf numFmtId="0" fontId="18" fillId="2" borderId="3" xfId="0" applyFont="1" applyFill="1" applyBorder="1"/>
    <xf numFmtId="0" fontId="21" fillId="2" borderId="4" xfId="0" applyFont="1" applyFill="1" applyBorder="1"/>
    <xf numFmtId="0" fontId="21" fillId="2" borderId="5" xfId="0" applyFont="1" applyFill="1" applyBorder="1" applyAlignment="1">
      <alignment horizontal="center"/>
    </xf>
    <xf numFmtId="0" fontId="0" fillId="2" borderId="4" xfId="0" applyFill="1" applyBorder="1"/>
    <xf numFmtId="0" fontId="0" fillId="2" borderId="6" xfId="0" applyFill="1" applyBorder="1"/>
    <xf numFmtId="0" fontId="22" fillId="2" borderId="0" xfId="0" quotePrefix="1" applyFont="1" applyFill="1"/>
    <xf numFmtId="0" fontId="23" fillId="2" borderId="0" xfId="0" applyFont="1" applyFill="1"/>
    <xf numFmtId="0" fontId="22" fillId="2" borderId="0" xfId="0" applyFont="1" applyFill="1"/>
    <xf numFmtId="0" fontId="21" fillId="2" borderId="7" xfId="0" applyFont="1" applyFill="1" applyBorder="1" applyAlignment="1">
      <alignment horizontal="center"/>
    </xf>
    <xf numFmtId="0" fontId="21" fillId="2" borderId="8" xfId="0" applyFont="1" applyFill="1" applyBorder="1" applyAlignment="1">
      <alignment horizontal="center"/>
    </xf>
    <xf numFmtId="0" fontId="24" fillId="4" borderId="34" xfId="0" applyFont="1" applyFill="1" applyBorder="1" applyAlignment="1">
      <alignment horizontal="center" vertical="center"/>
    </xf>
    <xf numFmtId="0" fontId="24" fillId="4" borderId="9" xfId="0" applyFont="1" applyFill="1" applyBorder="1" applyAlignment="1">
      <alignment horizontal="center" vertical="center"/>
    </xf>
    <xf numFmtId="0" fontId="18" fillId="2" borderId="10" xfId="0" applyFont="1" applyFill="1" applyBorder="1"/>
    <xf numFmtId="0" fontId="0" fillId="2" borderId="1" xfId="0" applyFill="1" applyBorder="1"/>
    <xf numFmtId="0" fontId="0" fillId="2" borderId="11" xfId="0" applyFill="1" applyBorder="1"/>
    <xf numFmtId="0" fontId="24" fillId="4" borderId="10" xfId="0" applyFont="1" applyFill="1" applyBorder="1" applyAlignment="1">
      <alignment horizontal="center" vertical="center"/>
    </xf>
    <xf numFmtId="1" fontId="18" fillId="3" borderId="34" xfId="0" applyNumberFormat="1" applyFont="1" applyFill="1" applyBorder="1" applyAlignment="1">
      <alignment horizontal="center" vertical="center"/>
    </xf>
    <xf numFmtId="0" fontId="25" fillId="2" borderId="0" xfId="0" applyFont="1" applyFill="1"/>
    <xf numFmtId="0" fontId="25" fillId="2" borderId="0" xfId="0" quotePrefix="1" applyFont="1" applyFill="1"/>
    <xf numFmtId="0" fontId="21" fillId="2" borderId="12" xfId="0" applyFont="1" applyFill="1" applyBorder="1" applyAlignment="1">
      <alignment horizontal="center"/>
    </xf>
    <xf numFmtId="0" fontId="21" fillId="2" borderId="13" xfId="0" applyFont="1" applyFill="1" applyBorder="1" applyAlignment="1">
      <alignment horizontal="center"/>
    </xf>
    <xf numFmtId="0" fontId="21" fillId="2" borderId="14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4" fontId="10" fillId="5" borderId="0" xfId="0" quotePrefix="1" applyNumberFormat="1" applyFont="1" applyFill="1" applyAlignment="1">
      <alignment horizontal="center" vertical="center"/>
    </xf>
    <xf numFmtId="17" fontId="10" fillId="5" borderId="0" xfId="0" quotePrefix="1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center"/>
    </xf>
    <xf numFmtId="1" fontId="0" fillId="2" borderId="0" xfId="0" applyNumberFormat="1" applyFill="1"/>
    <xf numFmtId="0" fontId="28" fillId="2" borderId="0" xfId="0" applyFont="1" applyFill="1"/>
    <xf numFmtId="14" fontId="29" fillId="2" borderId="0" xfId="0" applyNumberFormat="1" applyFont="1" applyFill="1" applyAlignment="1">
      <alignment horizontal="left"/>
    </xf>
    <xf numFmtId="0" fontId="18" fillId="3" borderId="15" xfId="0" applyFont="1" applyFill="1" applyBorder="1" applyAlignment="1">
      <alignment horizontal="center"/>
    </xf>
    <xf numFmtId="0" fontId="24" fillId="4" borderId="16" xfId="0" applyFon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/>
    </xf>
    <xf numFmtId="0" fontId="0" fillId="2" borderId="7" xfId="0" applyFill="1" applyBorder="1" applyAlignment="1">
      <alignment horizontal="left"/>
    </xf>
    <xf numFmtId="1" fontId="21" fillId="0" borderId="8" xfId="0" applyNumberFormat="1" applyFont="1" applyBorder="1" applyAlignment="1">
      <alignment horizontal="center"/>
    </xf>
    <xf numFmtId="0" fontId="21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1" fontId="0" fillId="0" borderId="8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left"/>
    </xf>
    <xf numFmtId="1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4" xfId="0" applyBorder="1"/>
    <xf numFmtId="0" fontId="21" fillId="0" borderId="5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7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7" fillId="2" borderId="5" xfId="0" applyFont="1" applyFill="1" applyBorder="1" applyAlignment="1">
      <alignment horizontal="center" vertical="center"/>
    </xf>
    <xf numFmtId="0" fontId="27" fillId="2" borderId="5" xfId="1" applyNumberFormat="1" applyFont="1" applyFill="1" applyBorder="1" applyAlignment="1">
      <alignment horizontal="center" vertical="center"/>
    </xf>
    <xf numFmtId="0" fontId="27" fillId="2" borderId="5" xfId="5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14" fillId="2" borderId="5" xfId="3" applyNumberFormat="1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/>
    </xf>
    <xf numFmtId="0" fontId="27" fillId="2" borderId="17" xfId="0" applyFont="1" applyFill="1" applyBorder="1" applyAlignment="1">
      <alignment horizontal="center" vertical="center"/>
    </xf>
    <xf numFmtId="0" fontId="27" fillId="2" borderId="17" xfId="1" applyNumberFormat="1" applyFont="1" applyFill="1" applyBorder="1" applyAlignment="1">
      <alignment horizontal="center" vertical="center"/>
    </xf>
    <xf numFmtId="0" fontId="14" fillId="2" borderId="5" xfId="1" applyNumberFormat="1" applyFont="1" applyFill="1" applyBorder="1" applyAlignment="1">
      <alignment horizontal="center" vertical="center"/>
    </xf>
    <xf numFmtId="0" fontId="31" fillId="2" borderId="5" xfId="5" applyFont="1" applyFill="1" applyBorder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27" fillId="2" borderId="5" xfId="3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5" xfId="3" applyNumberFormat="1" applyFont="1" applyFill="1" applyBorder="1" applyAlignment="1">
      <alignment horizontal="center" vertical="center"/>
    </xf>
    <xf numFmtId="0" fontId="27" fillId="2" borderId="25" xfId="1" applyNumberFormat="1" applyFont="1" applyFill="1" applyBorder="1" applyAlignment="1">
      <alignment horizontal="center" vertical="center" wrapText="1"/>
    </xf>
    <xf numFmtId="0" fontId="27" fillId="2" borderId="24" xfId="1" applyNumberFormat="1" applyFont="1" applyFill="1" applyBorder="1" applyAlignment="1">
      <alignment horizontal="center" vertical="center" wrapText="1"/>
    </xf>
    <xf numFmtId="0" fontId="27" fillId="2" borderId="25" xfId="1" applyNumberFormat="1" applyFont="1" applyFill="1" applyBorder="1" applyAlignment="1">
      <alignment horizontal="center" vertical="center"/>
    </xf>
    <xf numFmtId="0" fontId="27" fillId="2" borderId="24" xfId="1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 wrapText="1"/>
    </xf>
    <xf numFmtId="0" fontId="10" fillId="6" borderId="28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0" fillId="6" borderId="26" xfId="0" applyFont="1" applyFill="1" applyBorder="1" applyAlignment="1">
      <alignment horizontal="center" vertical="center"/>
    </xf>
    <xf numFmtId="0" fontId="27" fillId="2" borderId="18" xfId="1" applyNumberFormat="1" applyFont="1" applyFill="1" applyBorder="1" applyAlignment="1">
      <alignment horizontal="center" vertical="center"/>
    </xf>
    <xf numFmtId="0" fontId="27" fillId="2" borderId="17" xfId="1" applyNumberFormat="1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 wrapText="1"/>
    </xf>
    <xf numFmtId="0" fontId="9" fillId="2" borderId="18" xfId="6" applyFont="1" applyFill="1" applyBorder="1" applyAlignment="1">
      <alignment horizontal="center" vertical="center" wrapText="1"/>
    </xf>
    <xf numFmtId="0" fontId="9" fillId="2" borderId="17" xfId="6" applyFont="1" applyFill="1" applyBorder="1" applyAlignment="1">
      <alignment horizontal="center" vertical="center" wrapText="1"/>
    </xf>
    <xf numFmtId="0" fontId="14" fillId="2" borderId="18" xfId="6" applyFont="1" applyFill="1" applyBorder="1" applyAlignment="1">
      <alignment horizontal="center" vertical="center" wrapText="1"/>
    </xf>
    <xf numFmtId="0" fontId="14" fillId="2" borderId="17" xfId="6" applyFont="1" applyFill="1" applyBorder="1" applyAlignment="1">
      <alignment horizontal="center" vertical="center" wrapText="1"/>
    </xf>
    <xf numFmtId="0" fontId="27" fillId="2" borderId="18" xfId="0" applyFont="1" applyFill="1" applyBorder="1" applyAlignment="1">
      <alignment horizontal="center" vertical="center"/>
    </xf>
    <xf numFmtId="0" fontId="27" fillId="2" borderId="17" xfId="0" applyFont="1" applyFill="1" applyBorder="1" applyAlignment="1">
      <alignment horizontal="center" vertical="center"/>
    </xf>
    <xf numFmtId="0" fontId="14" fillId="2" borderId="18" xfId="1" applyNumberFormat="1" applyFont="1" applyFill="1" applyBorder="1" applyAlignment="1">
      <alignment horizontal="center" vertical="center"/>
    </xf>
    <xf numFmtId="0" fontId="14" fillId="2" borderId="17" xfId="1" applyNumberFormat="1" applyFont="1" applyFill="1" applyBorder="1" applyAlignment="1">
      <alignment horizontal="center" vertical="center"/>
    </xf>
    <xf numFmtId="0" fontId="27" fillId="2" borderId="18" xfId="1" quotePrefix="1" applyNumberFormat="1" applyFont="1" applyFill="1" applyBorder="1" applyAlignment="1">
      <alignment horizontal="center" vertical="center"/>
    </xf>
    <xf numFmtId="0" fontId="27" fillId="2" borderId="17" xfId="1" quotePrefix="1" applyNumberFormat="1" applyFont="1" applyFill="1" applyBorder="1" applyAlignment="1">
      <alignment horizontal="center" vertical="center"/>
    </xf>
    <xf numFmtId="0" fontId="27" fillId="2" borderId="18" xfId="1" applyNumberFormat="1" applyFont="1" applyFill="1" applyBorder="1" applyAlignment="1">
      <alignment horizontal="center" vertical="center" wrapText="1"/>
    </xf>
    <xf numFmtId="0" fontId="27" fillId="2" borderId="17" xfId="1" applyNumberFormat="1" applyFont="1" applyFill="1" applyBorder="1" applyAlignment="1">
      <alignment horizontal="center" vertical="center" wrapText="1"/>
    </xf>
    <xf numFmtId="0" fontId="27" fillId="2" borderId="26" xfId="1" applyNumberFormat="1" applyFont="1" applyFill="1" applyBorder="1" applyAlignment="1">
      <alignment horizontal="center" vertical="center"/>
    </xf>
    <xf numFmtId="0" fontId="27" fillId="2" borderId="27" xfId="1" applyNumberFormat="1" applyFont="1" applyFill="1" applyBorder="1" applyAlignment="1">
      <alignment horizontal="center" vertical="center"/>
    </xf>
    <xf numFmtId="0" fontId="27" fillId="2" borderId="5" xfId="1" applyNumberFormat="1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 wrapText="1"/>
    </xf>
    <xf numFmtId="0" fontId="27" fillId="2" borderId="17" xfId="0" applyFont="1" applyFill="1" applyBorder="1" applyAlignment="1">
      <alignment horizontal="center" vertical="center" wrapText="1"/>
    </xf>
    <xf numFmtId="0" fontId="27" fillId="2" borderId="18" xfId="0" applyFont="1" applyFill="1" applyBorder="1" applyAlignment="1">
      <alignment horizontal="center" vertical="center" shrinkToFit="1"/>
    </xf>
    <xf numFmtId="0" fontId="27" fillId="2" borderId="17" xfId="0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wrapText="1"/>
    </xf>
    <xf numFmtId="0" fontId="26" fillId="2" borderId="20" xfId="0" applyFont="1" applyFill="1" applyBorder="1" applyAlignment="1">
      <alignment horizontal="center" vertical="center" wrapText="1"/>
    </xf>
    <xf numFmtId="0" fontId="26" fillId="2" borderId="21" xfId="0" applyFont="1" applyFill="1" applyBorder="1" applyAlignment="1">
      <alignment horizontal="center" vertical="center" wrapText="1"/>
    </xf>
    <xf numFmtId="0" fontId="26" fillId="2" borderId="18" xfId="0" applyFont="1" applyFill="1" applyBorder="1" applyAlignment="1">
      <alignment horizontal="center" vertical="center"/>
    </xf>
    <xf numFmtId="0" fontId="26" fillId="2" borderId="17" xfId="0" applyFont="1" applyFill="1" applyBorder="1" applyAlignment="1">
      <alignment horizontal="center" vertical="center"/>
    </xf>
    <xf numFmtId="0" fontId="27" fillId="2" borderId="19" xfId="1" quotePrefix="1" applyNumberFormat="1" applyFont="1" applyFill="1" applyBorder="1" applyAlignment="1">
      <alignment horizontal="center" vertical="center"/>
    </xf>
    <xf numFmtId="0" fontId="27" fillId="2" borderId="18" xfId="1" quotePrefix="1" applyNumberFormat="1" applyFont="1" applyFill="1" applyBorder="1" applyAlignment="1">
      <alignment horizontal="center" vertical="center" wrapText="1"/>
    </xf>
    <xf numFmtId="0" fontId="27" fillId="2" borderId="19" xfId="1" quotePrefix="1" applyNumberFormat="1" applyFont="1" applyFill="1" applyBorder="1" applyAlignment="1">
      <alignment horizontal="center" vertical="center" wrapText="1"/>
    </xf>
    <xf numFmtId="0" fontId="27" fillId="2" borderId="17" xfId="1" quotePrefix="1" applyNumberFormat="1" applyFont="1" applyFill="1" applyBorder="1" applyAlignment="1">
      <alignment horizontal="center" vertical="center" wrapText="1"/>
    </xf>
    <xf numFmtId="0" fontId="27" fillId="2" borderId="23" xfId="1" applyNumberFormat="1" applyFont="1" applyFill="1" applyBorder="1" applyAlignment="1">
      <alignment horizontal="center" vertical="center"/>
    </xf>
    <xf numFmtId="0" fontId="27" fillId="2" borderId="19" xfId="1" applyNumberFormat="1" applyFont="1" applyFill="1" applyBorder="1" applyAlignment="1">
      <alignment horizontal="center" vertical="center" wrapText="1"/>
    </xf>
    <xf numFmtId="0" fontId="27" fillId="2" borderId="22" xfId="0" applyFont="1" applyFill="1" applyBorder="1" applyAlignment="1">
      <alignment horizontal="center" vertical="center" wrapText="1"/>
    </xf>
    <xf numFmtId="0" fontId="27" fillId="2" borderId="20" xfId="0" applyFont="1" applyFill="1" applyBorder="1" applyAlignment="1">
      <alignment horizontal="center" vertical="center" wrapText="1"/>
    </xf>
    <xf numFmtId="0" fontId="27" fillId="2" borderId="21" xfId="0" applyFont="1" applyFill="1" applyBorder="1" applyAlignment="1">
      <alignment horizontal="center" vertical="center" wrapText="1"/>
    </xf>
    <xf numFmtId="0" fontId="26" fillId="2" borderId="19" xfId="0" applyFont="1" applyFill="1" applyBorder="1" applyAlignment="1">
      <alignment horizontal="center" vertical="center"/>
    </xf>
    <xf numFmtId="0" fontId="27" fillId="2" borderId="19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1" xfId="0" applyFont="1" applyFill="1" applyBorder="1" applyAlignment="1">
      <alignment horizontal="center" vertical="center" wrapText="1"/>
    </xf>
    <xf numFmtId="0" fontId="27" fillId="8" borderId="18" xfId="0" applyFont="1" applyFill="1" applyBorder="1" applyAlignment="1">
      <alignment horizontal="center" vertical="center"/>
    </xf>
    <xf numFmtId="0" fontId="27" fillId="8" borderId="17" xfId="0" applyFont="1" applyFill="1" applyBorder="1" applyAlignment="1">
      <alignment horizontal="center" vertical="center"/>
    </xf>
    <xf numFmtId="0" fontId="27" fillId="2" borderId="33" xfId="1" applyNumberFormat="1" applyFont="1" applyFill="1" applyBorder="1" applyAlignment="1">
      <alignment horizontal="center" vertical="center"/>
    </xf>
    <xf numFmtId="0" fontId="27" fillId="2" borderId="32" xfId="1" quotePrefix="1" applyNumberFormat="1" applyFont="1" applyFill="1" applyBorder="1" applyAlignment="1">
      <alignment horizontal="center" vertical="center"/>
    </xf>
    <xf numFmtId="0" fontId="14" fillId="8" borderId="18" xfId="1" applyNumberFormat="1" applyFont="1" applyFill="1" applyBorder="1" applyAlignment="1">
      <alignment horizontal="center" vertical="center"/>
    </xf>
    <xf numFmtId="0" fontId="14" fillId="8" borderId="17" xfId="1" applyNumberFormat="1" applyFont="1" applyFill="1" applyBorder="1" applyAlignment="1">
      <alignment horizontal="center" vertical="center"/>
    </xf>
    <xf numFmtId="0" fontId="27" fillId="8" borderId="18" xfId="1" quotePrefix="1" applyNumberFormat="1" applyFont="1" applyFill="1" applyBorder="1" applyAlignment="1">
      <alignment horizontal="center" vertical="center"/>
    </xf>
    <xf numFmtId="0" fontId="27" fillId="8" borderId="17" xfId="1" quotePrefix="1" applyNumberFormat="1" applyFont="1" applyFill="1" applyBorder="1" applyAlignment="1">
      <alignment horizontal="center" vertical="center"/>
    </xf>
    <xf numFmtId="0" fontId="27" fillId="2" borderId="32" xfId="1" applyNumberFormat="1" applyFont="1" applyFill="1" applyBorder="1" applyAlignment="1">
      <alignment horizontal="center" vertical="center"/>
    </xf>
    <xf numFmtId="0" fontId="27" fillId="8" borderId="25" xfId="1" quotePrefix="1" applyNumberFormat="1" applyFont="1" applyFill="1" applyBorder="1" applyAlignment="1">
      <alignment horizontal="center" vertical="center" wrapText="1"/>
    </xf>
    <xf numFmtId="0" fontId="27" fillId="8" borderId="24" xfId="1" applyNumberFormat="1" applyFont="1" applyFill="1" applyBorder="1" applyAlignment="1">
      <alignment horizontal="center" vertical="center" wrapText="1"/>
    </xf>
    <xf numFmtId="0" fontId="27" fillId="8" borderId="18" xfId="1" applyNumberFormat="1" applyFont="1" applyFill="1" applyBorder="1" applyAlignment="1">
      <alignment horizontal="center" vertical="center"/>
    </xf>
    <xf numFmtId="0" fontId="27" fillId="8" borderId="17" xfId="1" applyNumberFormat="1" applyFont="1" applyFill="1" applyBorder="1" applyAlignment="1">
      <alignment horizontal="center" vertical="center"/>
    </xf>
    <xf numFmtId="0" fontId="26" fillId="2" borderId="22" xfId="0" applyFont="1" applyFill="1" applyBorder="1" applyAlignment="1">
      <alignment horizontal="center" vertical="center"/>
    </xf>
    <xf numFmtId="0" fontId="26" fillId="2" borderId="21" xfId="0" applyFont="1" applyFill="1" applyBorder="1" applyAlignment="1">
      <alignment horizontal="center" vertical="center"/>
    </xf>
    <xf numFmtId="0" fontId="27" fillId="8" borderId="25" xfId="1" applyNumberFormat="1" applyFont="1" applyFill="1" applyBorder="1" applyAlignment="1">
      <alignment horizontal="center" vertical="center"/>
    </xf>
    <xf numFmtId="0" fontId="27" fillId="8" borderId="24" xfId="1" applyNumberFormat="1" applyFont="1" applyFill="1" applyBorder="1" applyAlignment="1">
      <alignment horizontal="center" vertical="center"/>
    </xf>
    <xf numFmtId="0" fontId="27" fillId="2" borderId="23" xfId="1" quotePrefix="1" applyNumberFormat="1" applyFont="1" applyFill="1" applyBorder="1" applyAlignment="1">
      <alignment horizontal="center" vertical="center"/>
    </xf>
    <xf numFmtId="0" fontId="27" fillId="2" borderId="24" xfId="1" quotePrefix="1" applyNumberFormat="1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8" borderId="18" xfId="6" applyFont="1" applyFill="1" applyBorder="1" applyAlignment="1">
      <alignment horizontal="center" vertical="center" wrapText="1"/>
    </xf>
    <xf numFmtId="0" fontId="14" fillId="8" borderId="17" xfId="6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9" fillId="8" borderId="18" xfId="6" applyFont="1" applyFill="1" applyBorder="1" applyAlignment="1">
      <alignment horizontal="center" vertical="center" wrapText="1"/>
    </xf>
    <xf numFmtId="0" fontId="9" fillId="8" borderId="17" xfId="6" applyFont="1" applyFill="1" applyBorder="1" applyAlignment="1">
      <alignment horizontal="center" vertical="center" wrapText="1"/>
    </xf>
    <xf numFmtId="0" fontId="27" fillId="2" borderId="19" xfId="1" applyNumberFormat="1" applyFont="1" applyFill="1" applyBorder="1" applyAlignment="1">
      <alignment horizontal="center" vertical="center"/>
    </xf>
    <xf numFmtId="0" fontId="27" fillId="2" borderId="25" xfId="1" quotePrefix="1" applyNumberFormat="1" applyFont="1" applyFill="1" applyBorder="1" applyAlignment="1">
      <alignment horizontal="center" vertical="center" wrapText="1"/>
    </xf>
    <xf numFmtId="0" fontId="27" fillId="2" borderId="24" xfId="1" quotePrefix="1" applyNumberFormat="1" applyFont="1" applyFill="1" applyBorder="1" applyAlignment="1">
      <alignment horizontal="center" vertical="center" wrapText="1"/>
    </xf>
    <xf numFmtId="0" fontId="26" fillId="2" borderId="18" xfId="0" applyFont="1" applyFill="1" applyBorder="1" applyAlignment="1">
      <alignment horizontal="center" vertical="center" wrapText="1"/>
    </xf>
    <xf numFmtId="0" fontId="26" fillId="2" borderId="19" xfId="0" applyFont="1" applyFill="1" applyBorder="1" applyAlignment="1">
      <alignment horizontal="center" vertical="center" wrapText="1"/>
    </xf>
    <xf numFmtId="0" fontId="26" fillId="2" borderId="17" xfId="0" applyFont="1" applyFill="1" applyBorder="1" applyAlignment="1">
      <alignment horizontal="center" vertical="center" wrapText="1"/>
    </xf>
    <xf numFmtId="0" fontId="27" fillId="2" borderId="19" xfId="0" applyFont="1" applyFill="1" applyBorder="1" applyAlignment="1">
      <alignment horizontal="center" vertical="center" wrapText="1"/>
    </xf>
    <xf numFmtId="1" fontId="18" fillId="3" borderId="16" xfId="0" applyNumberFormat="1" applyFont="1" applyFill="1" applyBorder="1" applyAlignment="1">
      <alignment horizontal="center" vertical="center"/>
    </xf>
    <xf numFmtId="1" fontId="18" fillId="3" borderId="30" xfId="0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2" xr:uid="{6811667B-FBAC-436E-AD15-130C23C76BDA}"/>
    <cellStyle name="Comma 2 2" xfId="3" xr:uid="{5E1D933F-616D-4D1D-BD1A-D233803A01E5}"/>
    <cellStyle name="Comma 2 2 2 2" xfId="4" xr:uid="{CA0BB1BC-CA13-4BCA-9F5D-A8486703596D}"/>
    <cellStyle name="Normal" xfId="0" builtinId="0"/>
    <cellStyle name="Normal 2" xfId="5" xr:uid="{91879549-4BF0-487B-8398-11EAF941B41E}"/>
    <cellStyle name="Normal_GLR April14 2" xfId="6" xr:uid="{26FFE39A-326F-490D-8102-A91603535F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480060</xdr:colOff>
      <xdr:row>2</xdr:row>
      <xdr:rowOff>0</xdr:rowOff>
    </xdr:from>
    <xdr:to>
      <xdr:col>4</xdr:col>
      <xdr:colOff>403860</xdr:colOff>
      <xdr:row>4</xdr:row>
      <xdr:rowOff>68580</xdr:rowOff>
    </xdr:to>
    <xdr:pic>
      <xdr:nvPicPr>
        <xdr:cNvPr id="1882" name="Picture 1">
          <a:extLst>
            <a:ext uri="{FF2B5EF4-FFF2-40B4-BE49-F238E27FC236}">
              <a16:creationId xmlns:a16="http://schemas.microsoft.com/office/drawing/2014/main" id="{BC5E62C5-EEFF-F7C0-5453-0882EE7B0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6360" y="335280"/>
          <a:ext cx="1005840" cy="4038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0C73-F7F1-4EA8-B13D-84C759B07DC0}">
  <sheetPr>
    <pageSetUpPr fitToPage="1"/>
  </sheetPr>
  <dimension ref="A1:L97"/>
  <sheetViews>
    <sheetView tabSelected="1" view="pageBreakPreview" zoomScale="70" zoomScaleNormal="70" zoomScaleSheetLayoutView="70" workbookViewId="0">
      <pane xSplit="3" topLeftCell="D1" activePane="topRight" state="frozen"/>
      <selection pane="topRight" activeCell="D29" sqref="D29"/>
    </sheetView>
  </sheetViews>
  <sheetFormatPr defaultColWidth="9.21875" defaultRowHeight="13.2" x14ac:dyDescent="0.3"/>
  <cols>
    <col min="1" max="1" width="18.109375" style="36" customWidth="1"/>
    <col min="2" max="2" width="35.21875" style="36" bestFit="1" customWidth="1"/>
    <col min="3" max="3" width="15" style="36" bestFit="1" customWidth="1"/>
    <col min="4" max="4" width="15.77734375" style="36" customWidth="1"/>
    <col min="5" max="5" width="19.21875" style="36" bestFit="1" customWidth="1"/>
    <col min="6" max="6" width="39.6640625" style="36" customWidth="1"/>
    <col min="7" max="7" width="13.77734375" style="36" customWidth="1"/>
    <col min="8" max="8" width="14" style="29" customWidth="1"/>
    <col min="9" max="9" width="26" style="36" customWidth="1"/>
    <col min="10" max="10" width="18.88671875" style="36" bestFit="1" customWidth="1"/>
    <col min="11" max="11" width="36.44140625" style="36" customWidth="1"/>
    <col min="12" max="12" width="88.5546875" style="36" customWidth="1"/>
    <col min="13" max="16384" width="9.21875" style="31"/>
  </cols>
  <sheetData>
    <row r="1" spans="1:12" s="28" customFormat="1" x14ac:dyDescent="0.3">
      <c r="G1" s="29"/>
      <c r="H1" s="29"/>
    </row>
    <row r="2" spans="1:12" s="28" customFormat="1" x14ac:dyDescent="0.3">
      <c r="F2" s="30" t="s">
        <v>56</v>
      </c>
      <c r="G2" s="43"/>
      <c r="H2" s="67"/>
      <c r="I2" s="68"/>
      <c r="J2" s="43"/>
      <c r="K2" s="69"/>
      <c r="L2" s="43"/>
    </row>
    <row r="3" spans="1:12" s="28" customFormat="1" x14ac:dyDescent="0.3">
      <c r="B3" s="43" t="s">
        <v>0</v>
      </c>
      <c r="F3" s="32" t="s">
        <v>57</v>
      </c>
      <c r="G3" s="70" t="s">
        <v>105</v>
      </c>
      <c r="H3" s="70"/>
      <c r="I3" s="70"/>
      <c r="J3" s="70" t="s">
        <v>94</v>
      </c>
      <c r="K3" s="43"/>
      <c r="L3" s="43"/>
    </row>
    <row r="4" spans="1:12" s="28" customFormat="1" x14ac:dyDescent="0.3">
      <c r="B4" s="43" t="s">
        <v>1</v>
      </c>
      <c r="F4" s="32" t="s">
        <v>58</v>
      </c>
      <c r="G4" s="70" t="s">
        <v>99</v>
      </c>
      <c r="H4" s="32"/>
      <c r="I4" s="43"/>
      <c r="J4" s="92" t="s">
        <v>102</v>
      </c>
      <c r="K4" s="92"/>
      <c r="L4" s="92"/>
    </row>
    <row r="5" spans="1:12" s="28" customFormat="1" x14ac:dyDescent="0.3">
      <c r="F5" s="32" t="s">
        <v>59</v>
      </c>
      <c r="G5" s="93" t="s">
        <v>190</v>
      </c>
      <c r="H5" s="93"/>
      <c r="I5" s="93"/>
      <c r="J5" s="93"/>
      <c r="K5" s="93"/>
      <c r="L5" s="93"/>
    </row>
    <row r="6" spans="1:12" s="28" customFormat="1" x14ac:dyDescent="0.3">
      <c r="A6" s="33"/>
      <c r="B6" s="33" t="s">
        <v>195</v>
      </c>
      <c r="C6" s="34"/>
      <c r="D6" s="34"/>
      <c r="E6" s="34"/>
      <c r="F6" s="32" t="s">
        <v>60</v>
      </c>
      <c r="G6" s="70" t="s">
        <v>100</v>
      </c>
      <c r="H6" s="32"/>
      <c r="I6" s="43"/>
      <c r="J6" s="43"/>
      <c r="K6" s="43"/>
      <c r="L6" s="43"/>
    </row>
    <row r="7" spans="1:12" s="28" customFormat="1" x14ac:dyDescent="0.3">
      <c r="A7" s="35"/>
      <c r="D7" s="35" t="s">
        <v>2</v>
      </c>
      <c r="E7" s="35"/>
      <c r="F7" s="32" t="s">
        <v>61</v>
      </c>
      <c r="G7" s="70" t="s">
        <v>101</v>
      </c>
      <c r="H7" s="32"/>
      <c r="I7" s="71"/>
      <c r="J7" s="43"/>
      <c r="K7" s="43"/>
      <c r="L7" s="43"/>
    </row>
    <row r="8" spans="1:12" s="28" customFormat="1" ht="42" customHeight="1" thickBot="1" x14ac:dyDescent="0.35">
      <c r="A8" s="94" t="s">
        <v>137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2" s="28" customFormat="1" ht="39.6" x14ac:dyDescent="0.3">
      <c r="A9" s="37" t="s">
        <v>118</v>
      </c>
      <c r="B9" s="38" t="s">
        <v>4</v>
      </c>
      <c r="C9" s="38" t="s">
        <v>3</v>
      </c>
      <c r="D9" s="38" t="s">
        <v>79</v>
      </c>
      <c r="E9" s="38" t="s">
        <v>92</v>
      </c>
      <c r="F9" s="39" t="s">
        <v>95</v>
      </c>
      <c r="G9" s="40" t="s">
        <v>115</v>
      </c>
      <c r="H9" s="40" t="s">
        <v>116</v>
      </c>
      <c r="I9" s="39" t="s">
        <v>92</v>
      </c>
      <c r="J9" s="39" t="s">
        <v>168</v>
      </c>
      <c r="K9" s="41" t="s">
        <v>169</v>
      </c>
      <c r="L9" s="42" t="s">
        <v>170</v>
      </c>
    </row>
    <row r="10" spans="1:12" s="75" customFormat="1" x14ac:dyDescent="0.25">
      <c r="A10" s="150" t="s">
        <v>138</v>
      </c>
      <c r="B10" s="122" t="s">
        <v>21</v>
      </c>
      <c r="C10" s="104" t="s">
        <v>20</v>
      </c>
      <c r="D10" s="72" t="s">
        <v>117</v>
      </c>
      <c r="E10" s="104" t="s">
        <v>106</v>
      </c>
      <c r="F10" s="97" t="s">
        <v>119</v>
      </c>
      <c r="G10" s="77">
        <v>1000</v>
      </c>
      <c r="H10" s="77">
        <v>1400</v>
      </c>
      <c r="I10" s="97" t="s">
        <v>88</v>
      </c>
      <c r="J10" s="108" t="s">
        <v>22</v>
      </c>
      <c r="K10" s="110" t="s">
        <v>103</v>
      </c>
      <c r="L10" s="90" t="s">
        <v>126</v>
      </c>
    </row>
    <row r="11" spans="1:12" s="75" customFormat="1" x14ac:dyDescent="0.3">
      <c r="A11" s="151"/>
      <c r="B11" s="123"/>
      <c r="C11" s="105"/>
      <c r="D11" s="72" t="s">
        <v>111</v>
      </c>
      <c r="E11" s="105"/>
      <c r="F11" s="98"/>
      <c r="G11" s="76">
        <f>G10+120</f>
        <v>1120</v>
      </c>
      <c r="H11" s="76">
        <f>H10+150</f>
        <v>1550</v>
      </c>
      <c r="I11" s="98"/>
      <c r="J11" s="109"/>
      <c r="K11" s="111"/>
      <c r="L11" s="91"/>
    </row>
    <row r="12" spans="1:12" s="75" customFormat="1" x14ac:dyDescent="0.25">
      <c r="A12" s="119" t="s">
        <v>140</v>
      </c>
      <c r="B12" s="122" t="s">
        <v>24</v>
      </c>
      <c r="C12" s="104" t="s">
        <v>23</v>
      </c>
      <c r="D12" s="72" t="s">
        <v>117</v>
      </c>
      <c r="E12" s="104" t="s">
        <v>107</v>
      </c>
      <c r="F12" s="97" t="s">
        <v>124</v>
      </c>
      <c r="G12" s="74">
        <v>600</v>
      </c>
      <c r="H12" s="74">
        <v>800</v>
      </c>
      <c r="I12" s="108" t="s">
        <v>93</v>
      </c>
      <c r="J12" s="97">
        <v>12</v>
      </c>
      <c r="K12" s="110" t="s">
        <v>103</v>
      </c>
      <c r="L12" s="90" t="s">
        <v>126</v>
      </c>
    </row>
    <row r="13" spans="1:12" s="75" customFormat="1" x14ac:dyDescent="0.3">
      <c r="A13" s="120"/>
      <c r="B13" s="123"/>
      <c r="C13" s="105"/>
      <c r="D13" s="72" t="s">
        <v>111</v>
      </c>
      <c r="E13" s="105"/>
      <c r="F13" s="98"/>
      <c r="G13" s="76">
        <f>G12+120</f>
        <v>720</v>
      </c>
      <c r="H13" s="76">
        <f>H12+150</f>
        <v>950</v>
      </c>
      <c r="I13" s="109"/>
      <c r="J13" s="98"/>
      <c r="K13" s="111"/>
      <c r="L13" s="91"/>
    </row>
    <row r="14" spans="1:12" s="75" customFormat="1" x14ac:dyDescent="0.25">
      <c r="A14" s="120"/>
      <c r="B14" s="122" t="s">
        <v>26</v>
      </c>
      <c r="C14" s="104" t="s">
        <v>25</v>
      </c>
      <c r="D14" s="72" t="s">
        <v>117</v>
      </c>
      <c r="E14" s="104" t="s">
        <v>106</v>
      </c>
      <c r="F14" s="97" t="s">
        <v>119</v>
      </c>
      <c r="G14" s="74">
        <v>600</v>
      </c>
      <c r="H14" s="74">
        <v>800</v>
      </c>
      <c r="I14" s="97" t="s">
        <v>88</v>
      </c>
      <c r="J14" s="97">
        <v>15</v>
      </c>
      <c r="K14" s="110" t="s">
        <v>103</v>
      </c>
      <c r="L14" s="90" t="s">
        <v>126</v>
      </c>
    </row>
    <row r="15" spans="1:12" s="75" customFormat="1" x14ac:dyDescent="0.3">
      <c r="A15" s="120"/>
      <c r="B15" s="123"/>
      <c r="C15" s="105"/>
      <c r="D15" s="72" t="s">
        <v>111</v>
      </c>
      <c r="E15" s="105"/>
      <c r="F15" s="98"/>
      <c r="G15" s="76">
        <f>G14+120</f>
        <v>720</v>
      </c>
      <c r="H15" s="76">
        <f>H14+150</f>
        <v>950</v>
      </c>
      <c r="I15" s="98"/>
      <c r="J15" s="98"/>
      <c r="K15" s="111"/>
      <c r="L15" s="91"/>
    </row>
    <row r="16" spans="1:12" s="75" customFormat="1" x14ac:dyDescent="0.25">
      <c r="A16" s="120"/>
      <c r="B16" s="122" t="s">
        <v>28</v>
      </c>
      <c r="C16" s="104" t="s">
        <v>27</v>
      </c>
      <c r="D16" s="72" t="s">
        <v>117</v>
      </c>
      <c r="E16" s="104" t="s">
        <v>106</v>
      </c>
      <c r="F16" s="97" t="s">
        <v>119</v>
      </c>
      <c r="G16" s="74">
        <v>600</v>
      </c>
      <c r="H16" s="74">
        <v>800</v>
      </c>
      <c r="I16" s="97" t="s">
        <v>88</v>
      </c>
      <c r="J16" s="108" t="s">
        <v>22</v>
      </c>
      <c r="K16" s="110" t="s">
        <v>103</v>
      </c>
      <c r="L16" s="90" t="s">
        <v>126</v>
      </c>
    </row>
    <row r="17" spans="1:12" s="75" customFormat="1" x14ac:dyDescent="0.3">
      <c r="A17" s="120"/>
      <c r="B17" s="133"/>
      <c r="C17" s="134"/>
      <c r="D17" s="72" t="s">
        <v>111</v>
      </c>
      <c r="E17" s="105"/>
      <c r="F17" s="98"/>
      <c r="G17" s="76">
        <f>G16+120</f>
        <v>720</v>
      </c>
      <c r="H17" s="76">
        <f>H16+150</f>
        <v>950</v>
      </c>
      <c r="I17" s="98"/>
      <c r="J17" s="109"/>
      <c r="K17" s="111"/>
      <c r="L17" s="91"/>
    </row>
    <row r="18" spans="1:12" s="75" customFormat="1" x14ac:dyDescent="0.25">
      <c r="A18" s="120"/>
      <c r="B18" s="122" t="s">
        <v>30</v>
      </c>
      <c r="C18" s="104" t="s">
        <v>29</v>
      </c>
      <c r="D18" s="72" t="s">
        <v>114</v>
      </c>
      <c r="E18" s="72" t="s">
        <v>109</v>
      </c>
      <c r="F18" s="73" t="s">
        <v>113</v>
      </c>
      <c r="G18" s="74">
        <v>900</v>
      </c>
      <c r="H18" s="74">
        <v>1100</v>
      </c>
      <c r="I18" s="108" t="s">
        <v>87</v>
      </c>
      <c r="J18" s="108" t="s">
        <v>31</v>
      </c>
      <c r="K18" s="110" t="s">
        <v>103</v>
      </c>
      <c r="L18" s="90" t="s">
        <v>126</v>
      </c>
    </row>
    <row r="19" spans="1:12" s="75" customFormat="1" x14ac:dyDescent="0.3">
      <c r="A19" s="120"/>
      <c r="B19" s="133"/>
      <c r="C19" s="134"/>
      <c r="D19" s="72" t="s">
        <v>117</v>
      </c>
      <c r="E19" s="104" t="s">
        <v>120</v>
      </c>
      <c r="F19" s="97" t="s">
        <v>110</v>
      </c>
      <c r="G19" s="80">
        <f>G18</f>
        <v>900</v>
      </c>
      <c r="H19" s="80">
        <f>H18</f>
        <v>1100</v>
      </c>
      <c r="I19" s="124"/>
      <c r="J19" s="124"/>
      <c r="K19" s="129"/>
      <c r="L19" s="128"/>
    </row>
    <row r="20" spans="1:12" s="75" customFormat="1" x14ac:dyDescent="0.3">
      <c r="A20" s="120"/>
      <c r="B20" s="123"/>
      <c r="C20" s="105"/>
      <c r="D20" s="72" t="s">
        <v>111</v>
      </c>
      <c r="E20" s="105"/>
      <c r="F20" s="98"/>
      <c r="G20" s="76">
        <f>G19+120</f>
        <v>1020</v>
      </c>
      <c r="H20" s="76">
        <f>H19+150</f>
        <v>1250</v>
      </c>
      <c r="I20" s="109"/>
      <c r="J20" s="109"/>
      <c r="K20" s="111"/>
      <c r="L20" s="91"/>
    </row>
    <row r="21" spans="1:12" s="82" customFormat="1" ht="14.25" customHeight="1" x14ac:dyDescent="0.3">
      <c r="A21" s="120"/>
      <c r="B21" s="169" t="s">
        <v>177</v>
      </c>
      <c r="C21" s="115" t="s">
        <v>178</v>
      </c>
      <c r="D21" s="78" t="s">
        <v>114</v>
      </c>
      <c r="E21" s="78" t="s">
        <v>109</v>
      </c>
      <c r="F21" s="79" t="s">
        <v>113</v>
      </c>
      <c r="G21" s="81">
        <v>1050</v>
      </c>
      <c r="H21" s="81">
        <v>11450</v>
      </c>
      <c r="I21" s="125" t="s">
        <v>180</v>
      </c>
      <c r="J21" s="110">
        <v>23</v>
      </c>
      <c r="K21" s="166" t="s">
        <v>103</v>
      </c>
      <c r="L21" s="154" t="s">
        <v>122</v>
      </c>
    </row>
    <row r="22" spans="1:12" s="82" customFormat="1" x14ac:dyDescent="0.3">
      <c r="A22" s="120"/>
      <c r="B22" s="170"/>
      <c r="C22" s="172"/>
      <c r="D22" s="72" t="s">
        <v>117</v>
      </c>
      <c r="E22" s="104" t="s">
        <v>179</v>
      </c>
      <c r="F22" s="97" t="s">
        <v>110</v>
      </c>
      <c r="G22" s="73">
        <f>G21</f>
        <v>1050</v>
      </c>
      <c r="H22" s="73">
        <v>1450</v>
      </c>
      <c r="I22" s="126"/>
      <c r="J22" s="129"/>
      <c r="K22" s="166"/>
      <c r="L22" s="154"/>
    </row>
    <row r="23" spans="1:12" s="82" customFormat="1" x14ac:dyDescent="0.3">
      <c r="A23" s="121"/>
      <c r="B23" s="171"/>
      <c r="C23" s="116"/>
      <c r="D23" s="72" t="s">
        <v>111</v>
      </c>
      <c r="E23" s="105"/>
      <c r="F23" s="98"/>
      <c r="G23" s="83">
        <f>G22+120</f>
        <v>1170</v>
      </c>
      <c r="H23" s="83">
        <f>H22+150</f>
        <v>1600</v>
      </c>
      <c r="I23" s="127"/>
      <c r="J23" s="111"/>
      <c r="K23" s="98"/>
      <c r="L23" s="155"/>
    </row>
    <row r="24" spans="1:12" s="75" customFormat="1" x14ac:dyDescent="0.25">
      <c r="A24" s="119" t="s">
        <v>139</v>
      </c>
      <c r="B24" s="122" t="s">
        <v>38</v>
      </c>
      <c r="C24" s="104" t="s">
        <v>37</v>
      </c>
      <c r="D24" s="72" t="s">
        <v>117</v>
      </c>
      <c r="E24" s="115" t="s">
        <v>107</v>
      </c>
      <c r="F24" s="97" t="s">
        <v>130</v>
      </c>
      <c r="G24" s="74">
        <v>900</v>
      </c>
      <c r="H24" s="74">
        <v>1100</v>
      </c>
      <c r="I24" s="97" t="s">
        <v>90</v>
      </c>
      <c r="J24" s="108" t="s">
        <v>19</v>
      </c>
      <c r="K24" s="110" t="s">
        <v>103</v>
      </c>
      <c r="L24" s="88" t="s">
        <v>131</v>
      </c>
    </row>
    <row r="25" spans="1:12" s="75" customFormat="1" x14ac:dyDescent="0.3">
      <c r="A25" s="121"/>
      <c r="B25" s="123"/>
      <c r="C25" s="105"/>
      <c r="D25" s="72" t="s">
        <v>111</v>
      </c>
      <c r="E25" s="116"/>
      <c r="F25" s="98"/>
      <c r="G25" s="76">
        <f>G24+120</f>
        <v>1020</v>
      </c>
      <c r="H25" s="76">
        <f>H24+150</f>
        <v>1250</v>
      </c>
      <c r="I25" s="98"/>
      <c r="J25" s="109"/>
      <c r="K25" s="111"/>
      <c r="L25" s="89"/>
    </row>
    <row r="26" spans="1:12" s="75" customFormat="1" x14ac:dyDescent="0.25">
      <c r="A26" s="120"/>
      <c r="B26" s="133" t="s">
        <v>191</v>
      </c>
      <c r="C26" s="134" t="s">
        <v>32</v>
      </c>
      <c r="D26" s="72" t="s">
        <v>117</v>
      </c>
      <c r="E26" s="104" t="s">
        <v>125</v>
      </c>
      <c r="F26" s="97" t="s">
        <v>112</v>
      </c>
      <c r="G26" s="74">
        <v>700</v>
      </c>
      <c r="H26" s="74">
        <v>900</v>
      </c>
      <c r="I26" s="124" t="s">
        <v>192</v>
      </c>
      <c r="J26" s="108" t="s">
        <v>19</v>
      </c>
      <c r="K26" s="110" t="s">
        <v>103</v>
      </c>
      <c r="L26" s="90" t="s">
        <v>126</v>
      </c>
    </row>
    <row r="27" spans="1:12" s="75" customFormat="1" x14ac:dyDescent="0.3">
      <c r="A27" s="120"/>
      <c r="B27" s="123"/>
      <c r="C27" s="105"/>
      <c r="D27" s="72" t="s">
        <v>111</v>
      </c>
      <c r="E27" s="105"/>
      <c r="F27" s="98"/>
      <c r="G27" s="76">
        <f>G26+120</f>
        <v>820</v>
      </c>
      <c r="H27" s="76">
        <f>H26+150</f>
        <v>1050</v>
      </c>
      <c r="I27" s="109"/>
      <c r="J27" s="109"/>
      <c r="K27" s="111"/>
      <c r="L27" s="91"/>
    </row>
    <row r="28" spans="1:12" s="75" customFormat="1" x14ac:dyDescent="0.25">
      <c r="A28" s="120"/>
      <c r="B28" s="122" t="s">
        <v>34</v>
      </c>
      <c r="C28" s="104" t="s">
        <v>33</v>
      </c>
      <c r="D28" s="72" t="s">
        <v>117</v>
      </c>
      <c r="E28" s="104" t="s">
        <v>108</v>
      </c>
      <c r="F28" s="97" t="s">
        <v>124</v>
      </c>
      <c r="G28" s="74">
        <v>700</v>
      </c>
      <c r="H28" s="74">
        <v>900</v>
      </c>
      <c r="I28" s="108" t="s">
        <v>93</v>
      </c>
      <c r="J28" s="108">
        <v>17</v>
      </c>
      <c r="K28" s="110" t="s">
        <v>103</v>
      </c>
      <c r="L28" s="90" t="s">
        <v>126</v>
      </c>
    </row>
    <row r="29" spans="1:12" s="75" customFormat="1" x14ac:dyDescent="0.3">
      <c r="A29" s="120"/>
      <c r="B29" s="123"/>
      <c r="C29" s="105"/>
      <c r="D29" s="72" t="s">
        <v>111</v>
      </c>
      <c r="E29" s="105"/>
      <c r="F29" s="98"/>
      <c r="G29" s="76">
        <f>G28+120</f>
        <v>820</v>
      </c>
      <c r="H29" s="76">
        <f>H28+150</f>
        <v>1050</v>
      </c>
      <c r="I29" s="109"/>
      <c r="J29" s="109"/>
      <c r="K29" s="111"/>
      <c r="L29" s="91"/>
    </row>
    <row r="30" spans="1:12" s="75" customFormat="1" x14ac:dyDescent="0.25">
      <c r="A30" s="120"/>
      <c r="B30" s="122" t="s">
        <v>36</v>
      </c>
      <c r="C30" s="104" t="s">
        <v>35</v>
      </c>
      <c r="D30" s="72" t="s">
        <v>117</v>
      </c>
      <c r="E30" s="104" t="s">
        <v>127</v>
      </c>
      <c r="F30" s="97" t="s">
        <v>119</v>
      </c>
      <c r="G30" s="74">
        <v>700</v>
      </c>
      <c r="H30" s="74">
        <v>900</v>
      </c>
      <c r="I30" s="108" t="s">
        <v>93</v>
      </c>
      <c r="J30" s="108">
        <v>18</v>
      </c>
      <c r="K30" s="110" t="s">
        <v>103</v>
      </c>
      <c r="L30" s="90" t="s">
        <v>126</v>
      </c>
    </row>
    <row r="31" spans="1:12" s="75" customFormat="1" x14ac:dyDescent="0.3">
      <c r="A31" s="120"/>
      <c r="B31" s="123"/>
      <c r="C31" s="105"/>
      <c r="D31" s="72" t="s">
        <v>111</v>
      </c>
      <c r="E31" s="105"/>
      <c r="F31" s="98"/>
      <c r="G31" s="76">
        <f>G30+120</f>
        <v>820</v>
      </c>
      <c r="H31" s="76">
        <f>H30+150</f>
        <v>1050</v>
      </c>
      <c r="I31" s="109"/>
      <c r="J31" s="109"/>
      <c r="K31" s="111"/>
      <c r="L31" s="91"/>
    </row>
    <row r="32" spans="1:12" s="75" customFormat="1" x14ac:dyDescent="0.25">
      <c r="A32" s="120"/>
      <c r="B32" s="122" t="s">
        <v>36</v>
      </c>
      <c r="C32" s="104" t="s">
        <v>35</v>
      </c>
      <c r="D32" s="72" t="s">
        <v>114</v>
      </c>
      <c r="E32" s="72" t="s">
        <v>109</v>
      </c>
      <c r="F32" s="97" t="s">
        <v>113</v>
      </c>
      <c r="G32" s="74">
        <v>700</v>
      </c>
      <c r="H32" s="74">
        <v>900</v>
      </c>
      <c r="I32" s="108" t="s">
        <v>89</v>
      </c>
      <c r="J32" s="108">
        <v>21</v>
      </c>
      <c r="K32" s="110" t="s">
        <v>103</v>
      </c>
      <c r="L32" s="90" t="s">
        <v>126</v>
      </c>
    </row>
    <row r="33" spans="1:12" s="75" customFormat="1" x14ac:dyDescent="0.25">
      <c r="A33" s="121"/>
      <c r="B33" s="123"/>
      <c r="C33" s="105"/>
      <c r="D33" s="72" t="s">
        <v>111</v>
      </c>
      <c r="E33" s="78"/>
      <c r="F33" s="98"/>
      <c r="G33" s="74">
        <f>G32+120</f>
        <v>820</v>
      </c>
      <c r="H33" s="74">
        <f>H32+150</f>
        <v>1050</v>
      </c>
      <c r="I33" s="109"/>
      <c r="J33" s="109"/>
      <c r="K33" s="111"/>
      <c r="L33" s="91"/>
    </row>
    <row r="34" spans="1:12" s="75" customFormat="1" x14ac:dyDescent="0.25">
      <c r="A34" s="119" t="s">
        <v>141</v>
      </c>
      <c r="B34" s="122" t="s">
        <v>50</v>
      </c>
      <c r="C34" s="104" t="s">
        <v>49</v>
      </c>
      <c r="D34" s="72" t="s">
        <v>117</v>
      </c>
      <c r="E34" s="104" t="s">
        <v>108</v>
      </c>
      <c r="F34" s="97" t="s">
        <v>124</v>
      </c>
      <c r="G34" s="74">
        <v>900</v>
      </c>
      <c r="H34" s="74">
        <v>1300</v>
      </c>
      <c r="I34" s="108" t="s">
        <v>194</v>
      </c>
      <c r="J34" s="108">
        <v>14</v>
      </c>
      <c r="K34" s="97" t="s">
        <v>103</v>
      </c>
      <c r="L34" s="167" t="s">
        <v>135</v>
      </c>
    </row>
    <row r="35" spans="1:12" s="75" customFormat="1" x14ac:dyDescent="0.3">
      <c r="A35" s="121"/>
      <c r="B35" s="123"/>
      <c r="C35" s="105"/>
      <c r="D35" s="72" t="s">
        <v>111</v>
      </c>
      <c r="E35" s="105"/>
      <c r="F35" s="98"/>
      <c r="G35" s="76">
        <f>G34+120</f>
        <v>1020</v>
      </c>
      <c r="H35" s="76">
        <f>H34+150</f>
        <v>1450</v>
      </c>
      <c r="I35" s="109"/>
      <c r="J35" s="109"/>
      <c r="K35" s="98"/>
      <c r="L35" s="168"/>
    </row>
    <row r="36" spans="1:12" s="75" customFormat="1" ht="13.8" x14ac:dyDescent="0.3">
      <c r="A36" s="120" t="s">
        <v>142</v>
      </c>
      <c r="B36" s="133" t="s">
        <v>18</v>
      </c>
      <c r="C36" s="134" t="s">
        <v>17</v>
      </c>
      <c r="D36" s="78" t="s">
        <v>114</v>
      </c>
      <c r="E36" s="78" t="s">
        <v>109</v>
      </c>
      <c r="F36" s="79" t="s">
        <v>113</v>
      </c>
      <c r="G36" s="81">
        <v>1050</v>
      </c>
      <c r="H36" s="81">
        <v>1450</v>
      </c>
      <c r="I36" s="124" t="s">
        <v>87</v>
      </c>
      <c r="J36" s="166">
        <v>15</v>
      </c>
      <c r="K36" s="166" t="s">
        <v>103</v>
      </c>
      <c r="L36" s="154" t="s">
        <v>122</v>
      </c>
    </row>
    <row r="37" spans="1:12" s="75" customFormat="1" x14ac:dyDescent="0.3">
      <c r="A37" s="120"/>
      <c r="B37" s="133"/>
      <c r="C37" s="134"/>
      <c r="D37" s="72" t="s">
        <v>117</v>
      </c>
      <c r="E37" s="104" t="s">
        <v>120</v>
      </c>
      <c r="F37" s="97" t="s">
        <v>110</v>
      </c>
      <c r="G37" s="80">
        <f>G36</f>
        <v>1050</v>
      </c>
      <c r="H37" s="80">
        <f>H36</f>
        <v>1450</v>
      </c>
      <c r="I37" s="124"/>
      <c r="J37" s="166"/>
      <c r="K37" s="166"/>
      <c r="L37" s="154"/>
    </row>
    <row r="38" spans="1:12" s="75" customFormat="1" x14ac:dyDescent="0.3">
      <c r="A38" s="121"/>
      <c r="B38" s="123"/>
      <c r="C38" s="105"/>
      <c r="D38" s="72" t="s">
        <v>111</v>
      </c>
      <c r="E38" s="105"/>
      <c r="F38" s="98"/>
      <c r="G38" s="76">
        <f>G37+120</f>
        <v>1170</v>
      </c>
      <c r="H38" s="76">
        <f>H37+150</f>
        <v>1600</v>
      </c>
      <c r="I38" s="109"/>
      <c r="J38" s="98"/>
      <c r="K38" s="98"/>
      <c r="L38" s="155"/>
    </row>
    <row r="39" spans="1:12" s="75" customFormat="1" x14ac:dyDescent="0.25">
      <c r="A39" s="119" t="s">
        <v>128</v>
      </c>
      <c r="B39" s="122" t="s">
        <v>39</v>
      </c>
      <c r="C39" s="104" t="s">
        <v>62</v>
      </c>
      <c r="D39" s="72" t="s">
        <v>117</v>
      </c>
      <c r="E39" s="115" t="s">
        <v>108</v>
      </c>
      <c r="F39" s="97" t="s">
        <v>130</v>
      </c>
      <c r="G39" s="74">
        <v>900</v>
      </c>
      <c r="H39" s="74">
        <v>1100</v>
      </c>
      <c r="I39" s="97" t="s">
        <v>129</v>
      </c>
      <c r="J39" s="97" t="s">
        <v>40</v>
      </c>
      <c r="K39" s="110" t="s">
        <v>103</v>
      </c>
      <c r="L39" s="88" t="s">
        <v>131</v>
      </c>
    </row>
    <row r="40" spans="1:12" s="75" customFormat="1" x14ac:dyDescent="0.3">
      <c r="A40" s="120"/>
      <c r="B40" s="123"/>
      <c r="C40" s="105"/>
      <c r="D40" s="72" t="s">
        <v>111</v>
      </c>
      <c r="E40" s="116"/>
      <c r="F40" s="98"/>
      <c r="G40" s="76">
        <f>G39+120</f>
        <v>1020</v>
      </c>
      <c r="H40" s="76">
        <f>H39+150</f>
        <v>1250</v>
      </c>
      <c r="I40" s="98"/>
      <c r="J40" s="98"/>
      <c r="K40" s="111"/>
      <c r="L40" s="89"/>
    </row>
    <row r="41" spans="1:12" s="75" customFormat="1" x14ac:dyDescent="0.25">
      <c r="A41" s="120"/>
      <c r="B41" s="122" t="s">
        <v>41</v>
      </c>
      <c r="C41" s="104" t="s">
        <v>63</v>
      </c>
      <c r="D41" s="72" t="s">
        <v>117</v>
      </c>
      <c r="E41" s="104" t="s">
        <v>108</v>
      </c>
      <c r="F41" s="97" t="s">
        <v>130</v>
      </c>
      <c r="G41" s="74">
        <v>800</v>
      </c>
      <c r="H41" s="74">
        <v>1000</v>
      </c>
      <c r="I41" s="97" t="s">
        <v>129</v>
      </c>
      <c r="J41" s="97" t="s">
        <v>40</v>
      </c>
      <c r="K41" s="110" t="s">
        <v>103</v>
      </c>
      <c r="L41" s="88" t="s">
        <v>131</v>
      </c>
    </row>
    <row r="42" spans="1:12" s="75" customFormat="1" x14ac:dyDescent="0.3">
      <c r="A42" s="120"/>
      <c r="B42" s="123"/>
      <c r="C42" s="105"/>
      <c r="D42" s="72" t="s">
        <v>111</v>
      </c>
      <c r="E42" s="105"/>
      <c r="F42" s="98"/>
      <c r="G42" s="76">
        <f>G41+120</f>
        <v>920</v>
      </c>
      <c r="H42" s="76">
        <f>H41+150</f>
        <v>1150</v>
      </c>
      <c r="I42" s="98"/>
      <c r="J42" s="98"/>
      <c r="K42" s="111"/>
      <c r="L42" s="89"/>
    </row>
    <row r="43" spans="1:12" s="75" customFormat="1" x14ac:dyDescent="0.25">
      <c r="A43" s="120"/>
      <c r="B43" s="122" t="s">
        <v>42</v>
      </c>
      <c r="C43" s="104" t="s">
        <v>67</v>
      </c>
      <c r="D43" s="72" t="s">
        <v>117</v>
      </c>
      <c r="E43" s="104" t="s">
        <v>108</v>
      </c>
      <c r="F43" s="97" t="s">
        <v>130</v>
      </c>
      <c r="G43" s="74">
        <v>750</v>
      </c>
      <c r="H43" s="74">
        <v>1000</v>
      </c>
      <c r="I43" s="97" t="s">
        <v>129</v>
      </c>
      <c r="J43" s="97" t="s">
        <v>40</v>
      </c>
      <c r="K43" s="110" t="s">
        <v>103</v>
      </c>
      <c r="L43" s="88" t="s">
        <v>131</v>
      </c>
    </row>
    <row r="44" spans="1:12" s="75" customFormat="1" x14ac:dyDescent="0.3">
      <c r="A44" s="120"/>
      <c r="B44" s="123"/>
      <c r="C44" s="105"/>
      <c r="D44" s="72" t="s">
        <v>111</v>
      </c>
      <c r="E44" s="105"/>
      <c r="F44" s="98"/>
      <c r="G44" s="76">
        <f>G43+120</f>
        <v>870</v>
      </c>
      <c r="H44" s="76">
        <f>H43+150</f>
        <v>1150</v>
      </c>
      <c r="I44" s="98"/>
      <c r="J44" s="98"/>
      <c r="K44" s="111"/>
      <c r="L44" s="89"/>
    </row>
    <row r="45" spans="1:12" s="75" customFormat="1" x14ac:dyDescent="0.25">
      <c r="A45" s="120"/>
      <c r="B45" s="122" t="s">
        <v>76</v>
      </c>
      <c r="C45" s="117" t="s">
        <v>64</v>
      </c>
      <c r="D45" s="72" t="s">
        <v>117</v>
      </c>
      <c r="E45" s="104" t="s">
        <v>108</v>
      </c>
      <c r="F45" s="97" t="s">
        <v>130</v>
      </c>
      <c r="G45" s="74">
        <v>800</v>
      </c>
      <c r="H45" s="74">
        <v>1100</v>
      </c>
      <c r="I45" s="97" t="s">
        <v>129</v>
      </c>
      <c r="J45" s="97" t="s">
        <v>40</v>
      </c>
      <c r="K45" s="110" t="s">
        <v>103</v>
      </c>
      <c r="L45" s="88" t="s">
        <v>131</v>
      </c>
    </row>
    <row r="46" spans="1:12" s="75" customFormat="1" x14ac:dyDescent="0.3">
      <c r="A46" s="120"/>
      <c r="B46" s="123"/>
      <c r="C46" s="118"/>
      <c r="D46" s="72" t="s">
        <v>111</v>
      </c>
      <c r="E46" s="105"/>
      <c r="F46" s="98"/>
      <c r="G46" s="76">
        <f>G45+120</f>
        <v>920</v>
      </c>
      <c r="H46" s="76">
        <f>H45+150</f>
        <v>1250</v>
      </c>
      <c r="I46" s="98"/>
      <c r="J46" s="98"/>
      <c r="K46" s="111"/>
      <c r="L46" s="89"/>
    </row>
    <row r="47" spans="1:12" s="75" customFormat="1" x14ac:dyDescent="0.25">
      <c r="A47" s="120"/>
      <c r="B47" s="122" t="s">
        <v>65</v>
      </c>
      <c r="C47" s="104" t="s">
        <v>66</v>
      </c>
      <c r="D47" s="72" t="s">
        <v>117</v>
      </c>
      <c r="E47" s="104" t="s">
        <v>108</v>
      </c>
      <c r="F47" s="97" t="s">
        <v>130</v>
      </c>
      <c r="G47" s="74">
        <v>800</v>
      </c>
      <c r="H47" s="74">
        <v>1100</v>
      </c>
      <c r="I47" s="97" t="s">
        <v>129</v>
      </c>
      <c r="J47" s="97" t="s">
        <v>40</v>
      </c>
      <c r="K47" s="110" t="s">
        <v>103</v>
      </c>
      <c r="L47" s="88" t="s">
        <v>131</v>
      </c>
    </row>
    <row r="48" spans="1:12" s="75" customFormat="1" x14ac:dyDescent="0.3">
      <c r="A48" s="120"/>
      <c r="B48" s="123"/>
      <c r="C48" s="105"/>
      <c r="D48" s="72" t="s">
        <v>111</v>
      </c>
      <c r="E48" s="105"/>
      <c r="F48" s="98"/>
      <c r="G48" s="76">
        <f>G47+120</f>
        <v>920</v>
      </c>
      <c r="H48" s="76">
        <f>H47+150</f>
        <v>1250</v>
      </c>
      <c r="I48" s="98"/>
      <c r="J48" s="98"/>
      <c r="K48" s="111"/>
      <c r="L48" s="89"/>
    </row>
    <row r="49" spans="1:12" s="75" customFormat="1" x14ac:dyDescent="0.25">
      <c r="A49" s="120"/>
      <c r="B49" s="122" t="s">
        <v>71</v>
      </c>
      <c r="C49" s="117" t="s">
        <v>68</v>
      </c>
      <c r="D49" s="72" t="s">
        <v>117</v>
      </c>
      <c r="E49" s="104" t="s">
        <v>108</v>
      </c>
      <c r="F49" s="97" t="s">
        <v>130</v>
      </c>
      <c r="G49" s="74">
        <v>800</v>
      </c>
      <c r="H49" s="74">
        <v>1100</v>
      </c>
      <c r="I49" s="97" t="s">
        <v>129</v>
      </c>
      <c r="J49" s="97" t="s">
        <v>40</v>
      </c>
      <c r="K49" s="110" t="s">
        <v>103</v>
      </c>
      <c r="L49" s="88" t="s">
        <v>131</v>
      </c>
    </row>
    <row r="50" spans="1:12" s="75" customFormat="1" x14ac:dyDescent="0.3">
      <c r="A50" s="120"/>
      <c r="B50" s="123"/>
      <c r="C50" s="118"/>
      <c r="D50" s="72" t="s">
        <v>111</v>
      </c>
      <c r="E50" s="105"/>
      <c r="F50" s="98"/>
      <c r="G50" s="76">
        <f>G49+120</f>
        <v>920</v>
      </c>
      <c r="H50" s="76">
        <f>H49+150</f>
        <v>1250</v>
      </c>
      <c r="I50" s="98"/>
      <c r="J50" s="98"/>
      <c r="K50" s="111"/>
      <c r="L50" s="89"/>
    </row>
    <row r="51" spans="1:12" s="75" customFormat="1" x14ac:dyDescent="0.25">
      <c r="A51" s="120"/>
      <c r="B51" s="122" t="s">
        <v>70</v>
      </c>
      <c r="C51" s="104" t="s">
        <v>69</v>
      </c>
      <c r="D51" s="72" t="s">
        <v>117</v>
      </c>
      <c r="E51" s="104" t="s">
        <v>108</v>
      </c>
      <c r="F51" s="114" t="s">
        <v>130</v>
      </c>
      <c r="G51" s="74">
        <v>800</v>
      </c>
      <c r="H51" s="74">
        <v>1100</v>
      </c>
      <c r="I51" s="112" t="s">
        <v>129</v>
      </c>
      <c r="J51" s="97" t="s">
        <v>40</v>
      </c>
      <c r="K51" s="110" t="s">
        <v>103</v>
      </c>
      <c r="L51" s="88" t="s">
        <v>131</v>
      </c>
    </row>
    <row r="52" spans="1:12" s="75" customFormat="1" x14ac:dyDescent="0.25">
      <c r="A52" s="121"/>
      <c r="B52" s="123"/>
      <c r="C52" s="105"/>
      <c r="D52" s="72" t="s">
        <v>111</v>
      </c>
      <c r="E52" s="105"/>
      <c r="F52" s="114"/>
      <c r="G52" s="74">
        <f>G51+120</f>
        <v>920</v>
      </c>
      <c r="H52" s="74">
        <f>H51+150</f>
        <v>1250</v>
      </c>
      <c r="I52" s="113"/>
      <c r="J52" s="98"/>
      <c r="K52" s="111"/>
      <c r="L52" s="89"/>
    </row>
    <row r="53" spans="1:12" s="75" customFormat="1" x14ac:dyDescent="0.25">
      <c r="A53" s="119" t="s">
        <v>132</v>
      </c>
      <c r="B53" s="122" t="s">
        <v>39</v>
      </c>
      <c r="C53" s="104" t="s">
        <v>62</v>
      </c>
      <c r="D53" s="72" t="s">
        <v>117</v>
      </c>
      <c r="E53" s="115" t="s">
        <v>127</v>
      </c>
      <c r="F53" s="114" t="s">
        <v>119</v>
      </c>
      <c r="G53" s="74">
        <v>900</v>
      </c>
      <c r="H53" s="74">
        <v>1100</v>
      </c>
      <c r="I53" s="112" t="s">
        <v>133</v>
      </c>
      <c r="J53" s="97" t="s">
        <v>40</v>
      </c>
      <c r="K53" s="110" t="s">
        <v>103</v>
      </c>
      <c r="L53" s="88" t="s">
        <v>131</v>
      </c>
    </row>
    <row r="54" spans="1:12" s="75" customFormat="1" x14ac:dyDescent="0.3">
      <c r="A54" s="120"/>
      <c r="B54" s="123"/>
      <c r="C54" s="105"/>
      <c r="D54" s="72" t="s">
        <v>111</v>
      </c>
      <c r="E54" s="116"/>
      <c r="F54" s="114"/>
      <c r="G54" s="76">
        <f>G53+120</f>
        <v>1020</v>
      </c>
      <c r="H54" s="76">
        <f>H53+150</f>
        <v>1250</v>
      </c>
      <c r="I54" s="113"/>
      <c r="J54" s="98"/>
      <c r="K54" s="111"/>
      <c r="L54" s="89"/>
    </row>
    <row r="55" spans="1:12" s="75" customFormat="1" x14ac:dyDescent="0.25">
      <c r="A55" s="120"/>
      <c r="B55" s="122" t="s">
        <v>41</v>
      </c>
      <c r="C55" s="104" t="s">
        <v>63</v>
      </c>
      <c r="D55" s="72" t="s">
        <v>117</v>
      </c>
      <c r="E55" s="115" t="s">
        <v>127</v>
      </c>
      <c r="F55" s="114" t="s">
        <v>119</v>
      </c>
      <c r="G55" s="74">
        <v>900</v>
      </c>
      <c r="H55" s="74">
        <v>1100</v>
      </c>
      <c r="I55" s="112" t="s">
        <v>133</v>
      </c>
      <c r="J55" s="97" t="s">
        <v>40</v>
      </c>
      <c r="K55" s="110" t="s">
        <v>103</v>
      </c>
      <c r="L55" s="88" t="s">
        <v>131</v>
      </c>
    </row>
    <row r="56" spans="1:12" s="75" customFormat="1" x14ac:dyDescent="0.25">
      <c r="A56" s="120"/>
      <c r="B56" s="123"/>
      <c r="C56" s="105"/>
      <c r="D56" s="72" t="s">
        <v>111</v>
      </c>
      <c r="E56" s="116"/>
      <c r="F56" s="114"/>
      <c r="G56" s="74">
        <f>G55+120</f>
        <v>1020</v>
      </c>
      <c r="H56" s="74">
        <f>H55+150</f>
        <v>1250</v>
      </c>
      <c r="I56" s="113"/>
      <c r="J56" s="98"/>
      <c r="K56" s="111"/>
      <c r="L56" s="89"/>
    </row>
    <row r="57" spans="1:12" s="75" customFormat="1" x14ac:dyDescent="0.25">
      <c r="A57" s="120"/>
      <c r="B57" s="122" t="s">
        <v>42</v>
      </c>
      <c r="C57" s="104" t="s">
        <v>67</v>
      </c>
      <c r="D57" s="72" t="s">
        <v>117</v>
      </c>
      <c r="E57" s="115" t="s">
        <v>127</v>
      </c>
      <c r="F57" s="114" t="s">
        <v>119</v>
      </c>
      <c r="G57" s="74">
        <v>800</v>
      </c>
      <c r="H57" s="74">
        <v>1000</v>
      </c>
      <c r="I57" s="112" t="s">
        <v>133</v>
      </c>
      <c r="J57" s="97" t="s">
        <v>40</v>
      </c>
      <c r="K57" s="110" t="s">
        <v>103</v>
      </c>
      <c r="L57" s="88" t="s">
        <v>131</v>
      </c>
    </row>
    <row r="58" spans="1:12" s="75" customFormat="1" x14ac:dyDescent="0.3">
      <c r="A58" s="120"/>
      <c r="B58" s="123"/>
      <c r="C58" s="105"/>
      <c r="D58" s="72" t="s">
        <v>111</v>
      </c>
      <c r="E58" s="116"/>
      <c r="F58" s="114"/>
      <c r="G58" s="76">
        <f>G57+120</f>
        <v>920</v>
      </c>
      <c r="H58" s="76">
        <f>H57+150</f>
        <v>1150</v>
      </c>
      <c r="I58" s="113"/>
      <c r="J58" s="98"/>
      <c r="K58" s="111"/>
      <c r="L58" s="89"/>
    </row>
    <row r="59" spans="1:12" s="75" customFormat="1" x14ac:dyDescent="0.25">
      <c r="A59" s="120"/>
      <c r="B59" s="122" t="s">
        <v>73</v>
      </c>
      <c r="C59" s="104" t="s">
        <v>72</v>
      </c>
      <c r="D59" s="72" t="s">
        <v>117</v>
      </c>
      <c r="E59" s="115" t="s">
        <v>127</v>
      </c>
      <c r="F59" s="114" t="s">
        <v>119</v>
      </c>
      <c r="G59" s="74">
        <v>800</v>
      </c>
      <c r="H59" s="74">
        <v>1000</v>
      </c>
      <c r="I59" s="112" t="s">
        <v>133</v>
      </c>
      <c r="J59" s="97" t="s">
        <v>40</v>
      </c>
      <c r="K59" s="110" t="s">
        <v>103</v>
      </c>
      <c r="L59" s="88" t="s">
        <v>131</v>
      </c>
    </row>
    <row r="60" spans="1:12" s="75" customFormat="1" x14ac:dyDescent="0.3">
      <c r="A60" s="120"/>
      <c r="B60" s="123"/>
      <c r="C60" s="105"/>
      <c r="D60" s="72" t="s">
        <v>111</v>
      </c>
      <c r="E60" s="116"/>
      <c r="F60" s="114"/>
      <c r="G60" s="76">
        <f>G59+120</f>
        <v>920</v>
      </c>
      <c r="H60" s="76">
        <f>H59+150</f>
        <v>1150</v>
      </c>
      <c r="I60" s="113"/>
      <c r="J60" s="98"/>
      <c r="K60" s="111"/>
      <c r="L60" s="89"/>
    </row>
    <row r="61" spans="1:12" s="75" customFormat="1" x14ac:dyDescent="0.25">
      <c r="A61" s="120"/>
      <c r="B61" s="122" t="s">
        <v>43</v>
      </c>
      <c r="C61" s="104" t="s">
        <v>74</v>
      </c>
      <c r="D61" s="72" t="s">
        <v>117</v>
      </c>
      <c r="E61" s="115" t="s">
        <v>127</v>
      </c>
      <c r="F61" s="114" t="s">
        <v>119</v>
      </c>
      <c r="G61" s="74">
        <v>800</v>
      </c>
      <c r="H61" s="74">
        <v>1000</v>
      </c>
      <c r="I61" s="112" t="s">
        <v>133</v>
      </c>
      <c r="J61" s="97" t="s">
        <v>40</v>
      </c>
      <c r="K61" s="110" t="s">
        <v>103</v>
      </c>
      <c r="L61" s="88" t="s">
        <v>131</v>
      </c>
    </row>
    <row r="62" spans="1:12" s="75" customFormat="1" x14ac:dyDescent="0.3">
      <c r="A62" s="120"/>
      <c r="B62" s="123"/>
      <c r="C62" s="105"/>
      <c r="D62" s="72" t="s">
        <v>111</v>
      </c>
      <c r="E62" s="116"/>
      <c r="F62" s="114"/>
      <c r="G62" s="76">
        <f>G61+120</f>
        <v>920</v>
      </c>
      <c r="H62" s="76">
        <f>H61+150</f>
        <v>1150</v>
      </c>
      <c r="I62" s="113"/>
      <c r="J62" s="98"/>
      <c r="K62" s="111"/>
      <c r="L62" s="89"/>
    </row>
    <row r="63" spans="1:12" s="75" customFormat="1" x14ac:dyDescent="0.25">
      <c r="A63" s="120"/>
      <c r="B63" s="122" t="s">
        <v>44</v>
      </c>
      <c r="C63" s="104" t="s">
        <v>75</v>
      </c>
      <c r="D63" s="72" t="s">
        <v>117</v>
      </c>
      <c r="E63" s="115" t="s">
        <v>127</v>
      </c>
      <c r="F63" s="114" t="s">
        <v>119</v>
      </c>
      <c r="G63" s="74">
        <v>800</v>
      </c>
      <c r="H63" s="74">
        <v>1000</v>
      </c>
      <c r="I63" s="112" t="s">
        <v>133</v>
      </c>
      <c r="J63" s="97" t="s">
        <v>40</v>
      </c>
      <c r="K63" s="110" t="s">
        <v>103</v>
      </c>
      <c r="L63" s="88" t="s">
        <v>131</v>
      </c>
    </row>
    <row r="64" spans="1:12" s="75" customFormat="1" x14ac:dyDescent="0.3">
      <c r="A64" s="120"/>
      <c r="B64" s="123"/>
      <c r="C64" s="105"/>
      <c r="D64" s="72" t="s">
        <v>111</v>
      </c>
      <c r="E64" s="116"/>
      <c r="F64" s="114"/>
      <c r="G64" s="76">
        <f>G63+120</f>
        <v>920</v>
      </c>
      <c r="H64" s="76">
        <f>H63+150</f>
        <v>1150</v>
      </c>
      <c r="I64" s="113"/>
      <c r="J64" s="98"/>
      <c r="K64" s="111"/>
      <c r="L64" s="89"/>
    </row>
    <row r="65" spans="1:12" s="75" customFormat="1" x14ac:dyDescent="0.25">
      <c r="A65" s="120"/>
      <c r="B65" s="122" t="s">
        <v>76</v>
      </c>
      <c r="C65" s="117" t="s">
        <v>64</v>
      </c>
      <c r="D65" s="72" t="s">
        <v>117</v>
      </c>
      <c r="E65" s="115" t="s">
        <v>127</v>
      </c>
      <c r="F65" s="114" t="s">
        <v>119</v>
      </c>
      <c r="G65" s="74">
        <v>800</v>
      </c>
      <c r="H65" s="74">
        <v>1100</v>
      </c>
      <c r="I65" s="112" t="s">
        <v>133</v>
      </c>
      <c r="J65" s="97" t="s">
        <v>40</v>
      </c>
      <c r="K65" s="110" t="s">
        <v>103</v>
      </c>
      <c r="L65" s="88" t="s">
        <v>131</v>
      </c>
    </row>
    <row r="66" spans="1:12" s="75" customFormat="1" x14ac:dyDescent="0.3">
      <c r="A66" s="120"/>
      <c r="B66" s="123"/>
      <c r="C66" s="118"/>
      <c r="D66" s="72" t="s">
        <v>111</v>
      </c>
      <c r="E66" s="116"/>
      <c r="F66" s="114"/>
      <c r="G66" s="76">
        <f>G65+120</f>
        <v>920</v>
      </c>
      <c r="H66" s="76">
        <f>H65+150</f>
        <v>1250</v>
      </c>
      <c r="I66" s="113"/>
      <c r="J66" s="98"/>
      <c r="K66" s="111"/>
      <c r="L66" s="89"/>
    </row>
    <row r="67" spans="1:12" s="75" customFormat="1" x14ac:dyDescent="0.25">
      <c r="A67" s="120"/>
      <c r="B67" s="122" t="s">
        <v>65</v>
      </c>
      <c r="C67" s="104" t="s">
        <v>66</v>
      </c>
      <c r="D67" s="72" t="s">
        <v>117</v>
      </c>
      <c r="E67" s="115" t="s">
        <v>127</v>
      </c>
      <c r="F67" s="114" t="s">
        <v>119</v>
      </c>
      <c r="G67" s="74">
        <v>800</v>
      </c>
      <c r="H67" s="74">
        <v>1000</v>
      </c>
      <c r="I67" s="112" t="s">
        <v>133</v>
      </c>
      <c r="J67" s="97" t="s">
        <v>40</v>
      </c>
      <c r="K67" s="110" t="s">
        <v>103</v>
      </c>
      <c r="L67" s="88" t="s">
        <v>131</v>
      </c>
    </row>
    <row r="68" spans="1:12" s="75" customFormat="1" x14ac:dyDescent="0.3">
      <c r="A68" s="120"/>
      <c r="B68" s="123"/>
      <c r="C68" s="105"/>
      <c r="D68" s="72" t="s">
        <v>111</v>
      </c>
      <c r="E68" s="116"/>
      <c r="F68" s="114"/>
      <c r="G68" s="76">
        <f>G67+120</f>
        <v>920</v>
      </c>
      <c r="H68" s="76">
        <f>H67+150</f>
        <v>1150</v>
      </c>
      <c r="I68" s="113"/>
      <c r="J68" s="98"/>
      <c r="K68" s="111"/>
      <c r="L68" s="89"/>
    </row>
    <row r="69" spans="1:12" s="75" customFormat="1" x14ac:dyDescent="0.25">
      <c r="A69" s="120"/>
      <c r="B69" s="122" t="s">
        <v>70</v>
      </c>
      <c r="C69" s="104" t="s">
        <v>69</v>
      </c>
      <c r="D69" s="72" t="s">
        <v>117</v>
      </c>
      <c r="E69" s="115" t="s">
        <v>127</v>
      </c>
      <c r="F69" s="114" t="s">
        <v>119</v>
      </c>
      <c r="G69" s="74">
        <v>800</v>
      </c>
      <c r="H69" s="74">
        <v>1100</v>
      </c>
      <c r="I69" s="112" t="s">
        <v>133</v>
      </c>
      <c r="J69" s="97" t="s">
        <v>40</v>
      </c>
      <c r="K69" s="110" t="s">
        <v>103</v>
      </c>
      <c r="L69" s="88" t="s">
        <v>131</v>
      </c>
    </row>
    <row r="70" spans="1:12" s="75" customFormat="1" x14ac:dyDescent="0.3">
      <c r="A70" s="120"/>
      <c r="B70" s="123"/>
      <c r="C70" s="105"/>
      <c r="D70" s="72" t="s">
        <v>111</v>
      </c>
      <c r="E70" s="116"/>
      <c r="F70" s="114"/>
      <c r="G70" s="76">
        <f>G69+120</f>
        <v>920</v>
      </c>
      <c r="H70" s="76">
        <f>H69+150</f>
        <v>1250</v>
      </c>
      <c r="I70" s="113"/>
      <c r="J70" s="98"/>
      <c r="K70" s="111"/>
      <c r="L70" s="89"/>
    </row>
    <row r="71" spans="1:12" s="75" customFormat="1" x14ac:dyDescent="0.25">
      <c r="A71" s="120"/>
      <c r="B71" s="122" t="s">
        <v>97</v>
      </c>
      <c r="C71" s="104" t="s">
        <v>86</v>
      </c>
      <c r="D71" s="72" t="s">
        <v>117</v>
      </c>
      <c r="E71" s="115" t="s">
        <v>127</v>
      </c>
      <c r="F71" s="114" t="s">
        <v>119</v>
      </c>
      <c r="G71" s="74">
        <v>800</v>
      </c>
      <c r="H71" s="74">
        <v>1100</v>
      </c>
      <c r="I71" s="112" t="s">
        <v>133</v>
      </c>
      <c r="J71" s="97" t="s">
        <v>40</v>
      </c>
      <c r="K71" s="110" t="s">
        <v>103</v>
      </c>
      <c r="L71" s="88" t="s">
        <v>131</v>
      </c>
    </row>
    <row r="72" spans="1:12" s="75" customFormat="1" x14ac:dyDescent="0.3">
      <c r="A72" s="120"/>
      <c r="B72" s="123"/>
      <c r="C72" s="105"/>
      <c r="D72" s="72" t="s">
        <v>111</v>
      </c>
      <c r="E72" s="116"/>
      <c r="F72" s="114"/>
      <c r="G72" s="76">
        <f>G71+120</f>
        <v>920</v>
      </c>
      <c r="H72" s="76">
        <f>H71+150</f>
        <v>1250</v>
      </c>
      <c r="I72" s="113"/>
      <c r="J72" s="98"/>
      <c r="K72" s="111"/>
      <c r="L72" s="89"/>
    </row>
    <row r="73" spans="1:12" s="75" customFormat="1" x14ac:dyDescent="0.25">
      <c r="A73" s="120"/>
      <c r="B73" s="122" t="s">
        <v>98</v>
      </c>
      <c r="C73" s="104" t="s">
        <v>96</v>
      </c>
      <c r="D73" s="72" t="s">
        <v>117</v>
      </c>
      <c r="E73" s="115" t="s">
        <v>127</v>
      </c>
      <c r="F73" s="114" t="s">
        <v>119</v>
      </c>
      <c r="G73" s="74">
        <v>950</v>
      </c>
      <c r="H73" s="74">
        <v>1400</v>
      </c>
      <c r="I73" s="112" t="s">
        <v>133</v>
      </c>
      <c r="J73" s="97" t="s">
        <v>40</v>
      </c>
      <c r="K73" s="110" t="s">
        <v>103</v>
      </c>
      <c r="L73" s="88" t="s">
        <v>126</v>
      </c>
    </row>
    <row r="74" spans="1:12" s="75" customFormat="1" x14ac:dyDescent="0.3">
      <c r="A74" s="121"/>
      <c r="B74" s="123"/>
      <c r="C74" s="105"/>
      <c r="D74" s="72" t="s">
        <v>111</v>
      </c>
      <c r="E74" s="116"/>
      <c r="F74" s="114"/>
      <c r="G74" s="76">
        <f>G73+120</f>
        <v>1070</v>
      </c>
      <c r="H74" s="76">
        <f>H73+150</f>
        <v>1550</v>
      </c>
      <c r="I74" s="113"/>
      <c r="J74" s="98"/>
      <c r="K74" s="111"/>
      <c r="L74" s="89"/>
    </row>
    <row r="75" spans="1:12" s="75" customFormat="1" ht="12.6" customHeight="1" x14ac:dyDescent="0.25">
      <c r="A75" s="130" t="s">
        <v>150</v>
      </c>
      <c r="B75" s="122" t="s">
        <v>143</v>
      </c>
      <c r="C75" s="104" t="s">
        <v>45</v>
      </c>
      <c r="D75" s="72" t="s">
        <v>117</v>
      </c>
      <c r="E75" s="104" t="s">
        <v>185</v>
      </c>
      <c r="F75" s="97" t="s">
        <v>134</v>
      </c>
      <c r="G75" s="74">
        <v>1100</v>
      </c>
      <c r="H75" s="74">
        <v>1300</v>
      </c>
      <c r="I75" s="108" t="s">
        <v>93</v>
      </c>
      <c r="J75" s="108">
        <v>15</v>
      </c>
      <c r="K75" s="97" t="s">
        <v>103</v>
      </c>
      <c r="L75" s="90" t="s">
        <v>121</v>
      </c>
    </row>
    <row r="76" spans="1:12" s="75" customFormat="1" ht="15.6" customHeight="1" x14ac:dyDescent="0.3">
      <c r="A76" s="131"/>
      <c r="B76" s="123"/>
      <c r="C76" s="105"/>
      <c r="D76" s="72" t="s">
        <v>111</v>
      </c>
      <c r="E76" s="105"/>
      <c r="F76" s="98"/>
      <c r="G76" s="76">
        <f>G75+120</f>
        <v>1220</v>
      </c>
      <c r="H76" s="76">
        <f>H75+150</f>
        <v>1450</v>
      </c>
      <c r="I76" s="109"/>
      <c r="J76" s="109"/>
      <c r="K76" s="98"/>
      <c r="L76" s="91"/>
    </row>
    <row r="77" spans="1:12" s="75" customFormat="1" x14ac:dyDescent="0.3">
      <c r="A77" s="131"/>
      <c r="B77" s="156" t="s">
        <v>144</v>
      </c>
      <c r="C77" s="162" t="s">
        <v>51</v>
      </c>
      <c r="D77" s="84" t="s">
        <v>117</v>
      </c>
      <c r="E77" s="104" t="s">
        <v>185</v>
      </c>
      <c r="F77" s="106" t="s">
        <v>134</v>
      </c>
      <c r="G77" s="76">
        <v>1200</v>
      </c>
      <c r="H77" s="76">
        <v>1400</v>
      </c>
      <c r="I77" s="108" t="s">
        <v>93</v>
      </c>
      <c r="J77" s="108">
        <v>25</v>
      </c>
      <c r="K77" s="97" t="s">
        <v>103</v>
      </c>
      <c r="L77" s="90" t="s">
        <v>121</v>
      </c>
    </row>
    <row r="78" spans="1:12" s="75" customFormat="1" x14ac:dyDescent="0.3">
      <c r="A78" s="131"/>
      <c r="B78" s="157"/>
      <c r="C78" s="163"/>
      <c r="D78" s="84" t="s">
        <v>111</v>
      </c>
      <c r="E78" s="105"/>
      <c r="F78" s="107"/>
      <c r="G78" s="76">
        <f>G77+120</f>
        <v>1320</v>
      </c>
      <c r="H78" s="76">
        <f>H77+150</f>
        <v>1550</v>
      </c>
      <c r="I78" s="109"/>
      <c r="J78" s="109"/>
      <c r="K78" s="98"/>
      <c r="L78" s="91"/>
    </row>
    <row r="79" spans="1:12" s="75" customFormat="1" x14ac:dyDescent="0.3">
      <c r="A79" s="131"/>
      <c r="B79" s="156" t="s">
        <v>181</v>
      </c>
      <c r="C79" s="158" t="s">
        <v>182</v>
      </c>
      <c r="D79" s="84" t="s">
        <v>117</v>
      </c>
      <c r="E79" s="104" t="s">
        <v>185</v>
      </c>
      <c r="F79" s="106" t="s">
        <v>134</v>
      </c>
      <c r="G79" s="76">
        <v>1100</v>
      </c>
      <c r="H79" s="76">
        <v>1300</v>
      </c>
      <c r="I79" s="108" t="s">
        <v>196</v>
      </c>
      <c r="J79" s="125">
        <v>28</v>
      </c>
      <c r="K79" s="97" t="s">
        <v>103</v>
      </c>
      <c r="L79" s="90" t="s">
        <v>197</v>
      </c>
    </row>
    <row r="80" spans="1:12" s="75" customFormat="1" x14ac:dyDescent="0.3">
      <c r="A80" s="131"/>
      <c r="B80" s="157"/>
      <c r="C80" s="159"/>
      <c r="D80" s="84" t="s">
        <v>111</v>
      </c>
      <c r="E80" s="105"/>
      <c r="F80" s="107"/>
      <c r="G80" s="76">
        <f>G79+120</f>
        <v>1220</v>
      </c>
      <c r="H80" s="76">
        <f>H79+150</f>
        <v>1450</v>
      </c>
      <c r="I80" s="109"/>
      <c r="J80" s="127"/>
      <c r="K80" s="98"/>
      <c r="L80" s="91"/>
    </row>
    <row r="81" spans="1:12" s="75" customFormat="1" x14ac:dyDescent="0.3">
      <c r="A81" s="131"/>
      <c r="B81" s="164" t="s">
        <v>46</v>
      </c>
      <c r="C81" s="160" t="s">
        <v>47</v>
      </c>
      <c r="D81" s="86" t="s">
        <v>117</v>
      </c>
      <c r="E81" s="137" t="s">
        <v>185</v>
      </c>
      <c r="F81" s="141" t="s">
        <v>134</v>
      </c>
      <c r="G81" s="87">
        <v>2000</v>
      </c>
      <c r="H81" s="87">
        <v>2500</v>
      </c>
      <c r="I81" s="143" t="s">
        <v>91</v>
      </c>
      <c r="J81" s="143">
        <v>20</v>
      </c>
      <c r="K81" s="148" t="s">
        <v>103</v>
      </c>
      <c r="L81" s="152" t="s">
        <v>121</v>
      </c>
    </row>
    <row r="82" spans="1:12" s="75" customFormat="1" x14ac:dyDescent="0.3">
      <c r="A82" s="131"/>
      <c r="B82" s="165"/>
      <c r="C82" s="161"/>
      <c r="D82" s="86" t="s">
        <v>111</v>
      </c>
      <c r="E82" s="138"/>
      <c r="F82" s="142"/>
      <c r="G82" s="87">
        <f>G81+120</f>
        <v>2120</v>
      </c>
      <c r="H82" s="87">
        <f>H81+150</f>
        <v>2650</v>
      </c>
      <c r="I82" s="144"/>
      <c r="J82" s="144"/>
      <c r="K82" s="149"/>
      <c r="L82" s="153"/>
    </row>
    <row r="83" spans="1:12" s="75" customFormat="1" x14ac:dyDescent="0.3">
      <c r="A83" s="131"/>
      <c r="B83" s="164" t="s">
        <v>145</v>
      </c>
      <c r="C83" s="160" t="s">
        <v>48</v>
      </c>
      <c r="D83" s="86" t="s">
        <v>117</v>
      </c>
      <c r="E83" s="137" t="s">
        <v>185</v>
      </c>
      <c r="F83" s="141" t="s">
        <v>134</v>
      </c>
      <c r="G83" s="87">
        <v>2100</v>
      </c>
      <c r="H83" s="87">
        <v>2600</v>
      </c>
      <c r="I83" s="143" t="s">
        <v>91</v>
      </c>
      <c r="J83" s="143">
        <v>22</v>
      </c>
      <c r="K83" s="148" t="s">
        <v>103</v>
      </c>
      <c r="L83" s="146" t="s">
        <v>136</v>
      </c>
    </row>
    <row r="84" spans="1:12" s="75" customFormat="1" x14ac:dyDescent="0.3">
      <c r="A84" s="132"/>
      <c r="B84" s="165"/>
      <c r="C84" s="161"/>
      <c r="D84" s="86" t="s">
        <v>111</v>
      </c>
      <c r="E84" s="138"/>
      <c r="F84" s="142"/>
      <c r="G84" s="87">
        <f>G83+120</f>
        <v>2220</v>
      </c>
      <c r="H84" s="87">
        <f>H83+150</f>
        <v>2750</v>
      </c>
      <c r="I84" s="144"/>
      <c r="J84" s="144"/>
      <c r="K84" s="149"/>
      <c r="L84" s="147"/>
    </row>
    <row r="85" spans="1:12" s="75" customFormat="1" x14ac:dyDescent="0.3">
      <c r="A85" s="99" t="s">
        <v>186</v>
      </c>
      <c r="B85" s="100" t="s">
        <v>193</v>
      </c>
      <c r="C85" s="102" t="s">
        <v>187</v>
      </c>
      <c r="D85" s="84" t="s">
        <v>117</v>
      </c>
      <c r="E85" s="104" t="s">
        <v>185</v>
      </c>
      <c r="F85" s="106" t="s">
        <v>134</v>
      </c>
      <c r="G85" s="76">
        <v>1400</v>
      </c>
      <c r="H85" s="76">
        <v>1700</v>
      </c>
      <c r="I85" s="108" t="s">
        <v>91</v>
      </c>
      <c r="J85" s="108" t="s">
        <v>188</v>
      </c>
      <c r="K85" s="97" t="s">
        <v>103</v>
      </c>
      <c r="L85" s="88" t="s">
        <v>189</v>
      </c>
    </row>
    <row r="86" spans="1:12" s="75" customFormat="1" x14ac:dyDescent="0.3">
      <c r="A86" s="99"/>
      <c r="B86" s="101"/>
      <c r="C86" s="103"/>
      <c r="D86" s="84" t="s">
        <v>111</v>
      </c>
      <c r="E86" s="105"/>
      <c r="F86" s="107"/>
      <c r="G86" s="76">
        <f>G85+120</f>
        <v>1520</v>
      </c>
      <c r="H86" s="76">
        <f>H85+150</f>
        <v>1850</v>
      </c>
      <c r="I86" s="109"/>
      <c r="J86" s="109"/>
      <c r="K86" s="98"/>
      <c r="L86" s="89"/>
    </row>
    <row r="87" spans="1:12" s="75" customFormat="1" x14ac:dyDescent="0.3">
      <c r="A87" s="99" t="s">
        <v>151</v>
      </c>
      <c r="B87" s="104" t="s">
        <v>146</v>
      </c>
      <c r="C87" s="104" t="s">
        <v>52</v>
      </c>
      <c r="D87" s="72" t="s">
        <v>117</v>
      </c>
      <c r="E87" s="104" t="s">
        <v>185</v>
      </c>
      <c r="F87" s="97" t="s">
        <v>134</v>
      </c>
      <c r="G87" s="73">
        <v>1600</v>
      </c>
      <c r="H87" s="73">
        <v>2500</v>
      </c>
      <c r="I87" s="108" t="s">
        <v>198</v>
      </c>
      <c r="J87" s="108" t="s">
        <v>53</v>
      </c>
      <c r="K87" s="97" t="s">
        <v>103</v>
      </c>
      <c r="L87" s="90" t="s">
        <v>121</v>
      </c>
    </row>
    <row r="88" spans="1:12" s="75" customFormat="1" x14ac:dyDescent="0.3">
      <c r="A88" s="99"/>
      <c r="B88" s="105"/>
      <c r="C88" s="105"/>
      <c r="D88" s="72" t="s">
        <v>111</v>
      </c>
      <c r="E88" s="105"/>
      <c r="F88" s="98"/>
      <c r="G88" s="73">
        <f>G87+120</f>
        <v>1720</v>
      </c>
      <c r="H88" s="73">
        <f>H87+150</f>
        <v>2650</v>
      </c>
      <c r="I88" s="109"/>
      <c r="J88" s="109"/>
      <c r="K88" s="98"/>
      <c r="L88" s="91"/>
    </row>
    <row r="89" spans="1:12" s="75" customFormat="1" x14ac:dyDescent="0.3">
      <c r="A89" s="130" t="s">
        <v>152</v>
      </c>
      <c r="B89" s="104" t="s">
        <v>147</v>
      </c>
      <c r="C89" s="104" t="s">
        <v>77</v>
      </c>
      <c r="D89" s="72" t="s">
        <v>117</v>
      </c>
      <c r="E89" s="104" t="s">
        <v>185</v>
      </c>
      <c r="F89" s="97" t="s">
        <v>134</v>
      </c>
      <c r="G89" s="73">
        <v>1600</v>
      </c>
      <c r="H89" s="73">
        <v>2500</v>
      </c>
      <c r="I89" s="108" t="s">
        <v>91</v>
      </c>
      <c r="J89" s="108" t="s">
        <v>55</v>
      </c>
      <c r="K89" s="97" t="s">
        <v>103</v>
      </c>
      <c r="L89" s="90" t="s">
        <v>121</v>
      </c>
    </row>
    <row r="90" spans="1:12" s="75" customFormat="1" x14ac:dyDescent="0.3">
      <c r="A90" s="131"/>
      <c r="B90" s="105"/>
      <c r="C90" s="105"/>
      <c r="D90" s="72" t="s">
        <v>111</v>
      </c>
      <c r="E90" s="105"/>
      <c r="F90" s="98"/>
      <c r="G90" s="73">
        <f>G89+120</f>
        <v>1720</v>
      </c>
      <c r="H90" s="73">
        <f>H89+150</f>
        <v>2650</v>
      </c>
      <c r="I90" s="109"/>
      <c r="J90" s="109"/>
      <c r="K90" s="98"/>
      <c r="L90" s="91"/>
    </row>
    <row r="91" spans="1:12" s="75" customFormat="1" x14ac:dyDescent="0.3">
      <c r="A91" s="131"/>
      <c r="B91" s="104" t="s">
        <v>183</v>
      </c>
      <c r="C91" s="104" t="s">
        <v>184</v>
      </c>
      <c r="D91" s="72" t="s">
        <v>117</v>
      </c>
      <c r="E91" s="104" t="s">
        <v>185</v>
      </c>
      <c r="F91" s="97" t="s">
        <v>134</v>
      </c>
      <c r="G91" s="73">
        <v>1700</v>
      </c>
      <c r="H91" s="73">
        <v>2600</v>
      </c>
      <c r="I91" s="108" t="s">
        <v>91</v>
      </c>
      <c r="J91" s="108" t="s">
        <v>123</v>
      </c>
      <c r="K91" s="97" t="s">
        <v>103</v>
      </c>
      <c r="L91" s="90" t="s">
        <v>121</v>
      </c>
    </row>
    <row r="92" spans="1:12" s="75" customFormat="1" x14ac:dyDescent="0.3">
      <c r="A92" s="131"/>
      <c r="B92" s="105"/>
      <c r="C92" s="105"/>
      <c r="D92" s="72" t="s">
        <v>111</v>
      </c>
      <c r="E92" s="105"/>
      <c r="F92" s="98"/>
      <c r="G92" s="73">
        <f>G91+120</f>
        <v>1820</v>
      </c>
      <c r="H92" s="73">
        <f>H91+150</f>
        <v>2750</v>
      </c>
      <c r="I92" s="109"/>
      <c r="J92" s="109"/>
      <c r="K92" s="98"/>
      <c r="L92" s="91"/>
    </row>
    <row r="93" spans="1:12" s="75" customFormat="1" x14ac:dyDescent="0.3">
      <c r="A93" s="131"/>
      <c r="B93" s="104" t="s">
        <v>148</v>
      </c>
      <c r="C93" s="104" t="s">
        <v>54</v>
      </c>
      <c r="D93" s="72" t="s">
        <v>117</v>
      </c>
      <c r="E93" s="104" t="s">
        <v>106</v>
      </c>
      <c r="F93" s="97" t="s">
        <v>119</v>
      </c>
      <c r="G93" s="73">
        <v>2200</v>
      </c>
      <c r="H93" s="73">
        <v>3000</v>
      </c>
      <c r="I93" s="108" t="s">
        <v>88</v>
      </c>
      <c r="J93" s="108" t="s">
        <v>55</v>
      </c>
      <c r="K93" s="97" t="s">
        <v>103</v>
      </c>
      <c r="L93" s="90" t="s">
        <v>121</v>
      </c>
    </row>
    <row r="94" spans="1:12" s="75" customFormat="1" x14ac:dyDescent="0.3">
      <c r="A94" s="131"/>
      <c r="B94" s="105"/>
      <c r="C94" s="105"/>
      <c r="D94" s="72" t="s">
        <v>111</v>
      </c>
      <c r="E94" s="105"/>
      <c r="F94" s="98"/>
      <c r="G94" s="73">
        <f>G93+120</f>
        <v>2320</v>
      </c>
      <c r="H94" s="73">
        <f>H93+150</f>
        <v>3150</v>
      </c>
      <c r="I94" s="109"/>
      <c r="J94" s="109"/>
      <c r="K94" s="98"/>
      <c r="L94" s="91"/>
    </row>
    <row r="95" spans="1:12" s="75" customFormat="1" x14ac:dyDescent="0.3">
      <c r="A95" s="131"/>
      <c r="B95" s="104" t="s">
        <v>149</v>
      </c>
      <c r="C95" s="104" t="s">
        <v>104</v>
      </c>
      <c r="D95" s="72" t="s">
        <v>117</v>
      </c>
      <c r="E95" s="104" t="s">
        <v>106</v>
      </c>
      <c r="F95" s="97" t="s">
        <v>119</v>
      </c>
      <c r="G95" s="73">
        <v>2200</v>
      </c>
      <c r="H95" s="73">
        <v>3000</v>
      </c>
      <c r="I95" s="108" t="s">
        <v>88</v>
      </c>
      <c r="J95" s="108" t="s">
        <v>55</v>
      </c>
      <c r="K95" s="97" t="s">
        <v>103</v>
      </c>
      <c r="L95" s="90" t="s">
        <v>121</v>
      </c>
    </row>
    <row r="96" spans="1:12" s="75" customFormat="1" ht="13.8" thickBot="1" x14ac:dyDescent="0.35">
      <c r="A96" s="136"/>
      <c r="B96" s="135"/>
      <c r="C96" s="135"/>
      <c r="D96" s="85" t="s">
        <v>111</v>
      </c>
      <c r="E96" s="135"/>
      <c r="F96" s="145"/>
      <c r="G96" s="83">
        <f>G95+120</f>
        <v>2320</v>
      </c>
      <c r="H96" s="83">
        <f>H95+150</f>
        <v>3150</v>
      </c>
      <c r="I96" s="140"/>
      <c r="J96" s="140"/>
      <c r="K96" s="145"/>
      <c r="L96" s="139"/>
    </row>
    <row r="97" spans="1:12" s="65" customFormat="1" x14ac:dyDescent="0.3">
      <c r="A97" s="64"/>
      <c r="B97" s="64"/>
      <c r="C97" s="64"/>
      <c r="D97" s="64"/>
      <c r="E97" s="64"/>
      <c r="F97" s="64"/>
      <c r="G97" s="64"/>
      <c r="H97" s="66"/>
      <c r="I97" s="64"/>
      <c r="J97" s="64"/>
      <c r="K97" s="64"/>
      <c r="L97" s="64"/>
    </row>
  </sheetData>
  <autoFilter ref="D1:D95" xr:uid="{813749EE-616C-48FB-8EFA-9A94D920B469}"/>
  <mergeCells count="350">
    <mergeCell ref="K21:K23"/>
    <mergeCell ref="B30:B31"/>
    <mergeCell ref="B28:B29"/>
    <mergeCell ref="F24:F25"/>
    <mergeCell ref="E30:E31"/>
    <mergeCell ref="E26:E27"/>
    <mergeCell ref="E28:E29"/>
    <mergeCell ref="K24:K25"/>
    <mergeCell ref="J24:J25"/>
    <mergeCell ref="B21:B23"/>
    <mergeCell ref="C21:C23"/>
    <mergeCell ref="A26:A33"/>
    <mergeCell ref="A24:A25"/>
    <mergeCell ref="B24:B25"/>
    <mergeCell ref="C24:C25"/>
    <mergeCell ref="B26:B27"/>
    <mergeCell ref="B32:B33"/>
    <mergeCell ref="F28:F29"/>
    <mergeCell ref="F26:F27"/>
    <mergeCell ref="B36:B38"/>
    <mergeCell ref="C34:C35"/>
    <mergeCell ref="B34:B35"/>
    <mergeCell ref="F32:F33"/>
    <mergeCell ref="L36:L38"/>
    <mergeCell ref="K36:K38"/>
    <mergeCell ref="J36:J38"/>
    <mergeCell ref="I36:I38"/>
    <mergeCell ref="I34:I35"/>
    <mergeCell ref="E37:E38"/>
    <mergeCell ref="L34:L35"/>
    <mergeCell ref="K34:K35"/>
    <mergeCell ref="J34:J35"/>
    <mergeCell ref="F37:F38"/>
    <mergeCell ref="L30:L31"/>
    <mergeCell ref="L32:L33"/>
    <mergeCell ref="I32:I33"/>
    <mergeCell ref="F34:F35"/>
    <mergeCell ref="E34:E35"/>
    <mergeCell ref="K26:K27"/>
    <mergeCell ref="K28:K29"/>
    <mergeCell ref="K30:K31"/>
    <mergeCell ref="K32:K33"/>
    <mergeCell ref="J30:J31"/>
    <mergeCell ref="J28:J29"/>
    <mergeCell ref="I28:I29"/>
    <mergeCell ref="I26:I27"/>
    <mergeCell ref="J32:J33"/>
    <mergeCell ref="K79:K80"/>
    <mergeCell ref="B83:B84"/>
    <mergeCell ref="B81:B82"/>
    <mergeCell ref="I81:I82"/>
    <mergeCell ref="J81:J82"/>
    <mergeCell ref="K83:K84"/>
    <mergeCell ref="K47:K48"/>
    <mergeCell ref="K49:K50"/>
    <mergeCell ref="F41:F42"/>
    <mergeCell ref="F43:F44"/>
    <mergeCell ref="F45:F46"/>
    <mergeCell ref="F47:F48"/>
    <mergeCell ref="K51:K52"/>
    <mergeCell ref="C73:C74"/>
    <mergeCell ref="C71:C72"/>
    <mergeCell ref="F79:F80"/>
    <mergeCell ref="I79:I80"/>
    <mergeCell ref="J79:J80"/>
    <mergeCell ref="F51:F52"/>
    <mergeCell ref="I51:I52"/>
    <mergeCell ref="I49:I50"/>
    <mergeCell ref="I47:I48"/>
    <mergeCell ref="I45:I46"/>
    <mergeCell ref="I43:I44"/>
    <mergeCell ref="I75:I76"/>
    <mergeCell ref="F75:F76"/>
    <mergeCell ref="L24:L25"/>
    <mergeCell ref="B77:B78"/>
    <mergeCell ref="C77:C78"/>
    <mergeCell ref="E77:E78"/>
    <mergeCell ref="F77:F78"/>
    <mergeCell ref="I77:I78"/>
    <mergeCell ref="L26:L27"/>
    <mergeCell ref="L28:L29"/>
    <mergeCell ref="J26:J27"/>
    <mergeCell ref="K77:K78"/>
    <mergeCell ref="L77:L78"/>
    <mergeCell ref="C36:C38"/>
    <mergeCell ref="C32:C33"/>
    <mergeCell ref="C30:C31"/>
    <mergeCell ref="C28:C29"/>
    <mergeCell ref="C26:C27"/>
    <mergeCell ref="B75:B76"/>
    <mergeCell ref="C75:C76"/>
    <mergeCell ref="E75:E76"/>
    <mergeCell ref="K39:K40"/>
    <mergeCell ref="L39:L40"/>
    <mergeCell ref="I89:I90"/>
    <mergeCell ref="I87:I88"/>
    <mergeCell ref="I95:I96"/>
    <mergeCell ref="L83:L84"/>
    <mergeCell ref="K81:K82"/>
    <mergeCell ref="F81:F82"/>
    <mergeCell ref="A10:A11"/>
    <mergeCell ref="L81:L82"/>
    <mergeCell ref="J75:J76"/>
    <mergeCell ref="L21:L23"/>
    <mergeCell ref="B79:B80"/>
    <mergeCell ref="C91:C92"/>
    <mergeCell ref="J21:J23"/>
    <mergeCell ref="A12:A23"/>
    <mergeCell ref="C79:C80"/>
    <mergeCell ref="J77:J78"/>
    <mergeCell ref="A36:A38"/>
    <mergeCell ref="A34:A35"/>
    <mergeCell ref="K75:K76"/>
    <mergeCell ref="L75:L76"/>
    <mergeCell ref="C83:C84"/>
    <mergeCell ref="C81:C82"/>
    <mergeCell ref="L79:L80"/>
    <mergeCell ref="E73:E74"/>
    <mergeCell ref="L95:L96"/>
    <mergeCell ref="L93:L94"/>
    <mergeCell ref="L89:L90"/>
    <mergeCell ref="L87:L88"/>
    <mergeCell ref="J95:J96"/>
    <mergeCell ref="K93:K94"/>
    <mergeCell ref="K89:K90"/>
    <mergeCell ref="K87:K88"/>
    <mergeCell ref="F83:F84"/>
    <mergeCell ref="F87:F88"/>
    <mergeCell ref="I83:I84"/>
    <mergeCell ref="F91:F92"/>
    <mergeCell ref="F93:F94"/>
    <mergeCell ref="I91:I92"/>
    <mergeCell ref="J91:J92"/>
    <mergeCell ref="J85:J86"/>
    <mergeCell ref="K91:K92"/>
    <mergeCell ref="K95:K96"/>
    <mergeCell ref="J93:J94"/>
    <mergeCell ref="J89:J90"/>
    <mergeCell ref="J87:J88"/>
    <mergeCell ref="J83:J84"/>
    <mergeCell ref="F95:F96"/>
    <mergeCell ref="I93:I94"/>
    <mergeCell ref="F89:F90"/>
    <mergeCell ref="E89:E90"/>
    <mergeCell ref="C93:C94"/>
    <mergeCell ref="C89:C90"/>
    <mergeCell ref="C87:C88"/>
    <mergeCell ref="E83:E84"/>
    <mergeCell ref="E81:E82"/>
    <mergeCell ref="E91:E92"/>
    <mergeCell ref="E93:E94"/>
    <mergeCell ref="A87:A88"/>
    <mergeCell ref="C95:C96"/>
    <mergeCell ref="B95:B96"/>
    <mergeCell ref="B93:B94"/>
    <mergeCell ref="B89:B90"/>
    <mergeCell ref="B87:B88"/>
    <mergeCell ref="B91:B92"/>
    <mergeCell ref="A89:A96"/>
    <mergeCell ref="E95:E96"/>
    <mergeCell ref="E87:E88"/>
    <mergeCell ref="A75:A84"/>
    <mergeCell ref="E79:E80"/>
    <mergeCell ref="B10:B11"/>
    <mergeCell ref="B12:B13"/>
    <mergeCell ref="B14:B15"/>
    <mergeCell ref="B16:B17"/>
    <mergeCell ref="C16:C17"/>
    <mergeCell ref="C14:C15"/>
    <mergeCell ref="C12:C13"/>
    <mergeCell ref="C10:C11"/>
    <mergeCell ref="B18:B20"/>
    <mergeCell ref="C18:C20"/>
    <mergeCell ref="E12:E13"/>
    <mergeCell ref="E10:E11"/>
    <mergeCell ref="E19:E20"/>
    <mergeCell ref="A39:A52"/>
    <mergeCell ref="B51:B52"/>
    <mergeCell ref="B49:B50"/>
    <mergeCell ref="B47:B48"/>
    <mergeCell ref="B45:B46"/>
    <mergeCell ref="B43:B44"/>
    <mergeCell ref="E45:E46"/>
    <mergeCell ref="E43:E44"/>
    <mergeCell ref="E41:E42"/>
    <mergeCell ref="E14:E15"/>
    <mergeCell ref="F10:F11"/>
    <mergeCell ref="F12:F13"/>
    <mergeCell ref="F14:F15"/>
    <mergeCell ref="F16:F17"/>
    <mergeCell ref="F19:F20"/>
    <mergeCell ref="E16:E17"/>
    <mergeCell ref="F30:F31"/>
    <mergeCell ref="E22:E23"/>
    <mergeCell ref="F22:F23"/>
    <mergeCell ref="L10:L11"/>
    <mergeCell ref="L12:L13"/>
    <mergeCell ref="L14:L15"/>
    <mergeCell ref="L16:L17"/>
    <mergeCell ref="L18:L20"/>
    <mergeCell ref="I14:I15"/>
    <mergeCell ref="I12:I13"/>
    <mergeCell ref="I10:I11"/>
    <mergeCell ref="J18:J20"/>
    <mergeCell ref="J16:J17"/>
    <mergeCell ref="K10:K11"/>
    <mergeCell ref="K18:K20"/>
    <mergeCell ref="K16:K17"/>
    <mergeCell ref="K14:K15"/>
    <mergeCell ref="K12:K13"/>
    <mergeCell ref="J14:J15"/>
    <mergeCell ref="J12:J13"/>
    <mergeCell ref="J10:J11"/>
    <mergeCell ref="C51:C52"/>
    <mergeCell ref="C49:C50"/>
    <mergeCell ref="E51:E52"/>
    <mergeCell ref="E49:E50"/>
    <mergeCell ref="E47:E48"/>
    <mergeCell ref="I16:I17"/>
    <mergeCell ref="I18:I20"/>
    <mergeCell ref="I24:I25"/>
    <mergeCell ref="I30:I31"/>
    <mergeCell ref="E24:E25"/>
    <mergeCell ref="F49:F50"/>
    <mergeCell ref="I41:I42"/>
    <mergeCell ref="I39:I40"/>
    <mergeCell ref="F39:F40"/>
    <mergeCell ref="I21:I23"/>
    <mergeCell ref="B41:B42"/>
    <mergeCell ref="B39:B40"/>
    <mergeCell ref="C39:C40"/>
    <mergeCell ref="E39:E40"/>
    <mergeCell ref="L41:L42"/>
    <mergeCell ref="L43:L44"/>
    <mergeCell ref="L45:L46"/>
    <mergeCell ref="L47:L48"/>
    <mergeCell ref="L49:L50"/>
    <mergeCell ref="C47:C48"/>
    <mergeCell ref="C45:C46"/>
    <mergeCell ref="C43:C44"/>
    <mergeCell ref="C41:C42"/>
    <mergeCell ref="K41:K42"/>
    <mergeCell ref="K43:K44"/>
    <mergeCell ref="K45:K46"/>
    <mergeCell ref="J41:J42"/>
    <mergeCell ref="J39:J40"/>
    <mergeCell ref="J49:J50"/>
    <mergeCell ref="J47:J48"/>
    <mergeCell ref="J45:J46"/>
    <mergeCell ref="J43:J44"/>
    <mergeCell ref="L51:L52"/>
    <mergeCell ref="A53:A74"/>
    <mergeCell ref="B73:B74"/>
    <mergeCell ref="B71:B72"/>
    <mergeCell ref="B69:B70"/>
    <mergeCell ref="B67:B68"/>
    <mergeCell ref="B65:B66"/>
    <mergeCell ref="B63:B64"/>
    <mergeCell ref="J51:J52"/>
    <mergeCell ref="B61:B62"/>
    <mergeCell ref="B59:B60"/>
    <mergeCell ref="B57:B58"/>
    <mergeCell ref="B55:B56"/>
    <mergeCell ref="B53:B54"/>
    <mergeCell ref="C61:C62"/>
    <mergeCell ref="C59:C60"/>
    <mergeCell ref="C57:C58"/>
    <mergeCell ref="C55:C56"/>
    <mergeCell ref="C63:C64"/>
    <mergeCell ref="C53:C54"/>
    <mergeCell ref="E71:E72"/>
    <mergeCell ref="E69:E70"/>
    <mergeCell ref="E67:E68"/>
    <mergeCell ref="E65:E66"/>
    <mergeCell ref="E63:E64"/>
    <mergeCell ref="E61:E62"/>
    <mergeCell ref="E59:E60"/>
    <mergeCell ref="E57:E58"/>
    <mergeCell ref="E55:E56"/>
    <mergeCell ref="E53:E54"/>
    <mergeCell ref="C69:C70"/>
    <mergeCell ref="C67:C68"/>
    <mergeCell ref="C65:C66"/>
    <mergeCell ref="I55:I56"/>
    <mergeCell ref="I53:I54"/>
    <mergeCell ref="F73:F74"/>
    <mergeCell ref="F71:F72"/>
    <mergeCell ref="F69:F70"/>
    <mergeCell ref="F67:F68"/>
    <mergeCell ref="F65:F66"/>
    <mergeCell ref="F63:F64"/>
    <mergeCell ref="F61:F62"/>
    <mergeCell ref="F59:F60"/>
    <mergeCell ref="F57:F58"/>
    <mergeCell ref="F55:F56"/>
    <mergeCell ref="F53:F54"/>
    <mergeCell ref="I73:I74"/>
    <mergeCell ref="I71:I72"/>
    <mergeCell ref="I69:I70"/>
    <mergeCell ref="I67:I68"/>
    <mergeCell ref="I65:I66"/>
    <mergeCell ref="I63:I64"/>
    <mergeCell ref="I61:I62"/>
    <mergeCell ref="I59:I60"/>
    <mergeCell ref="I57:I58"/>
    <mergeCell ref="J73:J74"/>
    <mergeCell ref="J71:J72"/>
    <mergeCell ref="J69:J70"/>
    <mergeCell ref="J67:J68"/>
    <mergeCell ref="J65:J66"/>
    <mergeCell ref="J63:J64"/>
    <mergeCell ref="K73:K74"/>
    <mergeCell ref="J61:J62"/>
    <mergeCell ref="K65:K66"/>
    <mergeCell ref="K67:K68"/>
    <mergeCell ref="K69:K70"/>
    <mergeCell ref="K71:K72"/>
    <mergeCell ref="J55:J56"/>
    <mergeCell ref="J53:J54"/>
    <mergeCell ref="K53:K54"/>
    <mergeCell ref="K55:K56"/>
    <mergeCell ref="K57:K58"/>
    <mergeCell ref="K59:K60"/>
    <mergeCell ref="L63:L64"/>
    <mergeCell ref="K63:K64"/>
    <mergeCell ref="K61:K62"/>
    <mergeCell ref="L65:L66"/>
    <mergeCell ref="L67:L68"/>
    <mergeCell ref="L69:L70"/>
    <mergeCell ref="L71:L72"/>
    <mergeCell ref="L91:L92"/>
    <mergeCell ref="J4:L4"/>
    <mergeCell ref="G5:L5"/>
    <mergeCell ref="A8:L8"/>
    <mergeCell ref="L73:L74"/>
    <mergeCell ref="L53:L54"/>
    <mergeCell ref="L55:L56"/>
    <mergeCell ref="L57:L58"/>
    <mergeCell ref="L59:L60"/>
    <mergeCell ref="L61:L62"/>
    <mergeCell ref="K85:K86"/>
    <mergeCell ref="L85:L86"/>
    <mergeCell ref="A85:A86"/>
    <mergeCell ref="B85:B86"/>
    <mergeCell ref="C85:C86"/>
    <mergeCell ref="E85:E86"/>
    <mergeCell ref="F85:F86"/>
    <mergeCell ref="I85:I86"/>
    <mergeCell ref="J59:J60"/>
    <mergeCell ref="J57:J58"/>
  </mergeCells>
  <phoneticPr fontId="4" type="noConversion"/>
  <printOptions horizontalCentered="1"/>
  <pageMargins left="0.25" right="0.25" top="0.25" bottom="0.25" header="0.3" footer="0.05"/>
  <pageSetup paperSize="9" scale="29" fitToHeight="0" orientation="portrait" r:id="rId1"/>
  <rowBreaks count="1" manualBreakCount="1">
    <brk id="23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0450-4521-4B48-B9DF-DFBED300D63A}">
  <dimension ref="A1:I40"/>
  <sheetViews>
    <sheetView workbookViewId="0">
      <selection activeCell="L15" sqref="L15"/>
    </sheetView>
  </sheetViews>
  <sheetFormatPr defaultColWidth="8.77734375" defaultRowHeight="14.4" x14ac:dyDescent="0.3"/>
  <cols>
    <col min="1" max="2" width="8.77734375" style="44"/>
    <col min="3" max="3" width="14.33203125" style="44" customWidth="1"/>
    <col min="4" max="4" width="16.88671875" style="45" customWidth="1"/>
    <col min="5" max="6" width="8.6640625" style="46" customWidth="1"/>
    <col min="7" max="7" width="51.77734375" style="44" customWidth="1"/>
    <col min="8" max="16384" width="8.77734375" style="44"/>
  </cols>
  <sheetData>
    <row r="1" spans="1:9" ht="21" x14ac:dyDescent="0.4">
      <c r="A1" s="1" t="s">
        <v>153</v>
      </c>
    </row>
    <row r="2" spans="1:9" ht="18" x14ac:dyDescent="0.35">
      <c r="A2" s="47" t="s">
        <v>171</v>
      </c>
      <c r="C2" s="48">
        <v>45415</v>
      </c>
    </row>
    <row r="3" spans="1:9" ht="18" x14ac:dyDescent="0.35">
      <c r="A3" s="47"/>
      <c r="C3" s="48"/>
    </row>
    <row r="4" spans="1:9" ht="21.6" thickBot="1" x14ac:dyDescent="0.45">
      <c r="A4" s="2" t="s">
        <v>78</v>
      </c>
    </row>
    <row r="5" spans="1:9" ht="16.2" thickBot="1" x14ac:dyDescent="0.35">
      <c r="E5" s="173" t="s">
        <v>154</v>
      </c>
      <c r="F5" s="174"/>
      <c r="G5" s="49" t="s">
        <v>172</v>
      </c>
      <c r="I5" s="23" t="s">
        <v>155</v>
      </c>
    </row>
    <row r="6" spans="1:9" ht="16.2" thickBot="1" x14ac:dyDescent="0.35">
      <c r="A6" s="50" t="s">
        <v>79</v>
      </c>
      <c r="B6" s="21" t="s">
        <v>80</v>
      </c>
      <c r="C6" s="16" t="s">
        <v>156</v>
      </c>
      <c r="D6" s="17" t="s">
        <v>157</v>
      </c>
      <c r="E6" s="22" t="s">
        <v>158</v>
      </c>
      <c r="F6" s="22" t="s">
        <v>159</v>
      </c>
      <c r="G6" s="3" t="s">
        <v>160</v>
      </c>
      <c r="I6" s="24" t="s">
        <v>161</v>
      </c>
    </row>
    <row r="7" spans="1:9" ht="15.6" x14ac:dyDescent="0.3">
      <c r="A7" s="4" t="s">
        <v>81</v>
      </c>
      <c r="B7" s="5" t="s">
        <v>15</v>
      </c>
      <c r="C7" s="25"/>
      <c r="D7" s="14"/>
      <c r="E7" s="51">
        <v>270</v>
      </c>
      <c r="F7" s="51">
        <f>E7*2</f>
        <v>540</v>
      </c>
      <c r="G7" s="52" t="s">
        <v>173</v>
      </c>
      <c r="I7" s="23" t="s">
        <v>162</v>
      </c>
    </row>
    <row r="8" spans="1:9" ht="15.6" x14ac:dyDescent="0.3">
      <c r="A8" s="6"/>
      <c r="B8" s="7" t="s">
        <v>10</v>
      </c>
      <c r="C8" s="8"/>
      <c r="D8" s="15"/>
      <c r="E8" s="53">
        <v>150</v>
      </c>
      <c r="F8" s="53">
        <v>300</v>
      </c>
      <c r="G8" s="54" t="s">
        <v>174</v>
      </c>
      <c r="I8" s="11" t="s">
        <v>163</v>
      </c>
    </row>
    <row r="9" spans="1:9" ht="15.6" x14ac:dyDescent="0.3">
      <c r="A9" s="6"/>
      <c r="B9" s="7" t="s">
        <v>11</v>
      </c>
      <c r="C9" s="8"/>
      <c r="D9" s="15"/>
      <c r="E9" s="53">
        <v>200</v>
      </c>
      <c r="F9" s="53">
        <v>400</v>
      </c>
      <c r="G9" s="54"/>
      <c r="I9" s="11" t="s">
        <v>164</v>
      </c>
    </row>
    <row r="10" spans="1:9" ht="15.6" x14ac:dyDescent="0.3">
      <c r="A10" s="6"/>
      <c r="B10" s="9" t="s">
        <v>14</v>
      </c>
      <c r="C10" s="8"/>
      <c r="D10" s="15"/>
      <c r="E10" s="53">
        <v>150</v>
      </c>
      <c r="F10" s="53">
        <v>300</v>
      </c>
      <c r="G10" s="54"/>
      <c r="I10" s="13" t="s">
        <v>85</v>
      </c>
    </row>
    <row r="11" spans="1:9" x14ac:dyDescent="0.3">
      <c r="A11" s="6"/>
      <c r="B11" s="9" t="s">
        <v>5</v>
      </c>
      <c r="C11" s="8"/>
      <c r="D11" s="15"/>
      <c r="E11" s="53" t="s">
        <v>175</v>
      </c>
      <c r="F11" s="53" t="s">
        <v>175</v>
      </c>
      <c r="G11" s="55" t="s">
        <v>165</v>
      </c>
    </row>
    <row r="12" spans="1:9" x14ac:dyDescent="0.3">
      <c r="A12" s="6"/>
      <c r="B12" s="9" t="s">
        <v>7</v>
      </c>
      <c r="C12" s="8"/>
      <c r="D12" s="15"/>
      <c r="E12" s="56">
        <v>150</v>
      </c>
      <c r="F12" s="56">
        <v>300</v>
      </c>
      <c r="G12" s="55"/>
    </row>
    <row r="13" spans="1:9" x14ac:dyDescent="0.3">
      <c r="A13" s="6"/>
      <c r="B13" s="9" t="s">
        <v>82</v>
      </c>
      <c r="C13" s="8"/>
      <c r="D13" s="15"/>
      <c r="E13" s="53">
        <v>100</v>
      </c>
      <c r="F13" s="53">
        <v>200</v>
      </c>
      <c r="G13" s="55"/>
    </row>
    <row r="14" spans="1:9" x14ac:dyDescent="0.3">
      <c r="A14" s="6"/>
      <c r="B14" s="9" t="s">
        <v>83</v>
      </c>
      <c r="C14" s="8"/>
      <c r="D14" s="15"/>
      <c r="E14" s="56">
        <v>200</v>
      </c>
      <c r="F14" s="56">
        <v>400</v>
      </c>
      <c r="G14" s="55"/>
    </row>
    <row r="15" spans="1:9" x14ac:dyDescent="0.3">
      <c r="A15" s="6"/>
      <c r="B15" s="9" t="s">
        <v>9</v>
      </c>
      <c r="C15" s="8"/>
      <c r="D15" s="15"/>
      <c r="E15" s="53">
        <v>100</v>
      </c>
      <c r="F15" s="53">
        <v>200</v>
      </c>
      <c r="G15" s="55"/>
    </row>
    <row r="16" spans="1:9" ht="15" thickBot="1" x14ac:dyDescent="0.35">
      <c r="A16" s="6"/>
      <c r="B16" s="10" t="s">
        <v>8</v>
      </c>
      <c r="C16" s="26"/>
      <c r="D16" s="27"/>
      <c r="E16" s="57">
        <v>100</v>
      </c>
      <c r="F16" s="57">
        <v>200</v>
      </c>
      <c r="G16" s="58"/>
    </row>
    <row r="17" spans="1:7" x14ac:dyDescent="0.3">
      <c r="A17" s="18" t="s">
        <v>84</v>
      </c>
      <c r="B17" s="5" t="s">
        <v>13</v>
      </c>
      <c r="C17" s="25"/>
      <c r="D17" s="14"/>
      <c r="E17" s="59">
        <v>150</v>
      </c>
      <c r="F17" s="59">
        <v>300</v>
      </c>
      <c r="G17" s="60"/>
    </row>
    <row r="18" spans="1:7" x14ac:dyDescent="0.3">
      <c r="A18" s="4"/>
      <c r="B18" s="9" t="s">
        <v>15</v>
      </c>
      <c r="C18" s="8"/>
      <c r="D18" s="15"/>
      <c r="E18" s="56">
        <v>270</v>
      </c>
      <c r="F18" s="56">
        <v>540</v>
      </c>
      <c r="G18" s="55" t="s">
        <v>173</v>
      </c>
    </row>
    <row r="19" spans="1:7" x14ac:dyDescent="0.3">
      <c r="A19" s="4"/>
      <c r="B19" s="9" t="s">
        <v>10</v>
      </c>
      <c r="C19" s="8"/>
      <c r="D19" s="15"/>
      <c r="E19" s="53">
        <v>150</v>
      </c>
      <c r="F19" s="53">
        <v>300</v>
      </c>
      <c r="G19" s="55"/>
    </row>
    <row r="20" spans="1:7" x14ac:dyDescent="0.3">
      <c r="A20" s="4"/>
      <c r="B20" s="9" t="s">
        <v>11</v>
      </c>
      <c r="C20" s="8"/>
      <c r="D20" s="15"/>
      <c r="E20" s="53">
        <v>200</v>
      </c>
      <c r="F20" s="53">
        <v>400</v>
      </c>
      <c r="G20" s="55"/>
    </row>
    <row r="21" spans="1:7" x14ac:dyDescent="0.3">
      <c r="A21" s="4"/>
      <c r="B21" s="9" t="s">
        <v>14</v>
      </c>
      <c r="C21" s="8"/>
      <c r="D21" s="15"/>
      <c r="E21" s="53">
        <v>150</v>
      </c>
      <c r="F21" s="53">
        <v>300</v>
      </c>
      <c r="G21" s="55"/>
    </row>
    <row r="22" spans="1:7" x14ac:dyDescent="0.3">
      <c r="A22" s="4"/>
      <c r="B22" s="9" t="s">
        <v>12</v>
      </c>
      <c r="C22" s="8"/>
      <c r="D22" s="15"/>
      <c r="E22" s="53">
        <v>200</v>
      </c>
      <c r="F22" s="53">
        <v>400</v>
      </c>
      <c r="G22" s="55"/>
    </row>
    <row r="23" spans="1:7" x14ac:dyDescent="0.3">
      <c r="A23" s="4"/>
      <c r="B23" s="61" t="s">
        <v>16</v>
      </c>
      <c r="C23" s="62"/>
      <c r="D23" s="63"/>
      <c r="E23" s="56">
        <v>150</v>
      </c>
      <c r="F23" s="56">
        <v>300</v>
      </c>
      <c r="G23" s="55"/>
    </row>
    <row r="24" spans="1:7" x14ac:dyDescent="0.3">
      <c r="A24" s="4"/>
      <c r="B24" s="61" t="s">
        <v>6</v>
      </c>
      <c r="C24" s="62"/>
      <c r="D24" s="63"/>
      <c r="E24" s="56">
        <v>100</v>
      </c>
      <c r="F24" s="56">
        <v>200</v>
      </c>
      <c r="G24" s="55" t="s">
        <v>166</v>
      </c>
    </row>
    <row r="25" spans="1:7" hidden="1" x14ac:dyDescent="0.3">
      <c r="A25" s="4"/>
      <c r="B25" s="61" t="s">
        <v>20</v>
      </c>
      <c r="C25" s="62"/>
      <c r="D25" s="63"/>
      <c r="E25" s="56" t="s">
        <v>175</v>
      </c>
      <c r="F25" s="56" t="s">
        <v>175</v>
      </c>
      <c r="G25" s="55" t="s">
        <v>167</v>
      </c>
    </row>
    <row r="26" spans="1:7" hidden="1" x14ac:dyDescent="0.3">
      <c r="A26" s="4"/>
      <c r="B26" s="61" t="s">
        <v>25</v>
      </c>
      <c r="C26" s="62"/>
      <c r="D26" s="63"/>
      <c r="E26" s="56" t="s">
        <v>175</v>
      </c>
      <c r="F26" s="56" t="s">
        <v>175</v>
      </c>
      <c r="G26" s="55" t="s">
        <v>167</v>
      </c>
    </row>
    <row r="27" spans="1:7" x14ac:dyDescent="0.3">
      <c r="A27" s="4"/>
      <c r="B27" s="61" t="s">
        <v>35</v>
      </c>
      <c r="C27" s="62"/>
      <c r="D27" s="63"/>
      <c r="E27" s="53">
        <v>150</v>
      </c>
      <c r="F27" s="53">
        <v>300</v>
      </c>
      <c r="G27" s="55" t="s">
        <v>176</v>
      </c>
    </row>
    <row r="28" spans="1:7" x14ac:dyDescent="0.3">
      <c r="A28" s="4"/>
      <c r="B28" s="9" t="s">
        <v>23</v>
      </c>
      <c r="C28" s="8"/>
      <c r="D28" s="15"/>
      <c r="E28" s="56">
        <v>200</v>
      </c>
      <c r="F28" s="56">
        <v>400</v>
      </c>
      <c r="G28" s="55"/>
    </row>
    <row r="29" spans="1:7" x14ac:dyDescent="0.3">
      <c r="A29" s="4"/>
      <c r="B29" s="9" t="s">
        <v>5</v>
      </c>
      <c r="C29" s="8"/>
      <c r="D29" s="15"/>
      <c r="E29" s="53">
        <v>100</v>
      </c>
      <c r="F29" s="53">
        <v>200</v>
      </c>
      <c r="G29" s="55"/>
    </row>
    <row r="30" spans="1:7" x14ac:dyDescent="0.3">
      <c r="A30" s="4"/>
      <c r="B30" s="9" t="s">
        <v>7</v>
      </c>
      <c r="C30" s="8"/>
      <c r="D30" s="15"/>
      <c r="E30" s="56">
        <v>150</v>
      </c>
      <c r="F30" s="56">
        <v>300</v>
      </c>
      <c r="G30" s="55"/>
    </row>
    <row r="31" spans="1:7" x14ac:dyDescent="0.3">
      <c r="A31" s="4"/>
      <c r="B31" s="9" t="s">
        <v>49</v>
      </c>
      <c r="C31" s="8"/>
      <c r="D31" s="15"/>
      <c r="E31" s="56">
        <v>300</v>
      </c>
      <c r="F31" s="56">
        <v>600</v>
      </c>
      <c r="G31" s="55"/>
    </row>
    <row r="32" spans="1:7" x14ac:dyDescent="0.3">
      <c r="A32" s="4"/>
      <c r="B32" s="9" t="s">
        <v>82</v>
      </c>
      <c r="C32" s="8"/>
      <c r="D32" s="15"/>
      <c r="E32" s="53">
        <v>100</v>
      </c>
      <c r="F32" s="53">
        <v>200</v>
      </c>
      <c r="G32" s="55"/>
    </row>
    <row r="33" spans="1:7" x14ac:dyDescent="0.3">
      <c r="A33" s="4"/>
      <c r="B33" s="9" t="s">
        <v>83</v>
      </c>
      <c r="C33" s="8"/>
      <c r="D33" s="15"/>
      <c r="E33" s="56">
        <v>200</v>
      </c>
      <c r="F33" s="56">
        <v>400</v>
      </c>
      <c r="G33" s="55"/>
    </row>
    <row r="34" spans="1:7" x14ac:dyDescent="0.3">
      <c r="A34" s="19"/>
      <c r="B34" s="9" t="s">
        <v>9</v>
      </c>
      <c r="C34" s="8"/>
      <c r="D34" s="15"/>
      <c r="E34" s="56">
        <v>100</v>
      </c>
      <c r="F34" s="56">
        <v>200</v>
      </c>
      <c r="G34" s="55"/>
    </row>
    <row r="35" spans="1:7" ht="15" thickBot="1" x14ac:dyDescent="0.35">
      <c r="A35" s="20"/>
      <c r="B35" s="10" t="s">
        <v>8</v>
      </c>
      <c r="C35" s="26"/>
      <c r="D35" s="27"/>
      <c r="E35" s="57">
        <v>100</v>
      </c>
      <c r="F35" s="57">
        <v>200</v>
      </c>
      <c r="G35" s="58"/>
    </row>
    <row r="37" spans="1:7" ht="15.6" x14ac:dyDescent="0.3">
      <c r="B37" s="12"/>
      <c r="C37" s="12"/>
    </row>
    <row r="38" spans="1:7" ht="15.6" x14ac:dyDescent="0.3">
      <c r="B38" s="12"/>
      <c r="C38" s="12"/>
    </row>
    <row r="39" spans="1:7" ht="15.6" x14ac:dyDescent="0.3">
      <c r="B39" s="12"/>
      <c r="C39" s="12"/>
    </row>
    <row r="40" spans="1:7" ht="15.6" x14ac:dyDescent="0.3">
      <c r="B40" s="12"/>
      <c r="C40" s="12"/>
    </row>
  </sheetData>
  <mergeCells count="1">
    <mergeCell ref="E5:F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RCL</vt:lpstr>
      <vt:lpstr>DG SURCHARGE</vt:lpstr>
      <vt:lpstr>RCL!Print_Area</vt:lpstr>
      <vt:lpstr>RCL!Print_Titles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Budsabong Piboontanasan</dc:creator>
  <cp:lastModifiedBy>Kirana Mungcharoen</cp:lastModifiedBy>
  <cp:lastPrinted>2024-11-12T03:00:41Z</cp:lastPrinted>
  <dcterms:created xsi:type="dcterms:W3CDTF">2023-04-10T10:36:31Z</dcterms:created>
  <dcterms:modified xsi:type="dcterms:W3CDTF">2025-11-21T08:13:16Z</dcterms:modified>
</cp:coreProperties>
</file>